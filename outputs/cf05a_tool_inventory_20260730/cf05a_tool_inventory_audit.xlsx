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6ae1f007c64f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摘要" sheetId="1" r:id="R8706479d512242a7"/>
    <x:sheet xmlns:r="http://schemas.openxmlformats.org/officeDocument/2006/relationships" name="工具审计" sheetId="2" r:id="R7809b0da451041b7"/>
    <x:sheet xmlns:r="http://schemas.openxmlformats.org/officeDocument/2006/relationships" name="家族复审" sheetId="3" r:id="R66d2f9211b47457e"/>
    <x:sheet xmlns:r="http://schemas.openxmlformats.org/officeDocument/2006/relationships" name="差距与路线" sheetId="4" r:id="R830415e7919d41ee"/>
    <x:sheet xmlns:r="http://schemas.openxmlformats.org/officeDocument/2006/relationships" name="规则说明" sheetId="5" r:id="Re3ed802e91244c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7">
    <x:font>
      <x:sz val="11"/>
      <x:name val="Carlito"/>
    </x:font>
    <x:font>
      <x:b/>
      <x:sz val="18"/>
      <x:color rgb="FFFFFFFF"/>
      <x:name val="Carlito"/>
    </x:font>
    <x:font>
      <x:i/>
      <x:sz val="10"/>
      <x:color rgb="FF5F6B7A"/>
      <x:name val="Carlito"/>
    </x:font>
    <x:font>
      <x:b/>
      <x:sz val="11"/>
      <x:color rgb="FFFFFFFF"/>
      <x:name val="Carlito"/>
    </x:font>
    <x:font>
      <x:b/>
      <x:sz val="15"/>
      <x:color rgb="FF16324F"/>
      <x:name val="Carlito"/>
    </x:font>
    <x:font>
      <x:b/>
      <x:sz val="11"/>
      <x:color rgb="FF16324F"/>
      <x:name val="Carlito"/>
    </x:font>
    <x:font>
      <x:b/>
      <x:sz val="11"/>
      <x:color rgb="FF24344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AF2F8"/>
      </x:patternFill>
    </x:fill>
    <x:fill>
      <x:patternFill patternType="solid">
        <x:fgColor rgb="FF0F766E"/>
      </x:patternFill>
    </x:fill>
    <x:fill>
      <x:patternFill patternType="solid">
        <x:fgColor rgb="FFD9F0F0"/>
      </x:patternFill>
    </x:fill>
    <x:fill>
      <x:patternFill patternType="solid">
        <x:fgColor rgb="FFFFF2CC"/>
      </x:patternFill>
    </x:fill>
  </x:fills>
  <x:borders count="15">
    <x:border/>
    <x:border>
      <x:bottom style="medium">
        <x:color rgb="FF0F766E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bottom style="medium">
        <x:color rgb="FF16324F"/>
      </x:bottom>
    </x:border>
    <x:border>
      <x:bottom style="thin">
        <x:color rgb="FFCBD5E1"/>
      </x:bottom>
    </x:border>
    <x:border>
      <x:left style="medium">
        <x:color rgb="FFD6B656"/>
      </x:left>
      <x:top style="medium">
        <x:color rgb="FFD6B656"/>
      </x:top>
    </x:border>
    <x:border>
      <x:top style="medium">
        <x:color rgb="FFD6B656"/>
      </x:top>
    </x:border>
    <x:border>
      <x:right style="medium">
        <x:color rgb="FFD6B656"/>
      </x:right>
      <x:top style="medium">
        <x:color rgb="FFD6B656"/>
      </x:top>
    </x:border>
    <x:border>
      <x:left style="medium">
        <x:color rgb="FFD6B656"/>
      </x:left>
    </x:border>
    <x:border>
      <x:right style="medium">
        <x:color rgb="FFD6B656"/>
      </x:right>
    </x:border>
    <x:border>
      <x:left style="medium">
        <x:color rgb="FFD6B656"/>
      </x:left>
      <x:bottom style="medium">
        <x:color rgb="FFD6B656"/>
      </x:bottom>
    </x:border>
    <x:border>
      <x:bottom style="medium">
        <x:color rgb="FFD6B656"/>
      </x:bottom>
    </x:border>
    <x:border>
      <x:right style="medium">
        <x:color rgb="FFD6B656"/>
      </x:right>
      <x:bottom style="medium">
        <x:color rgb="FFD6B656"/>
      </x:bottom>
    </x:border>
  </x:borders>
  <x:cellStyleXfs count="1">
    <x:xf numFmtId="0" fontId="0" fillId="0" borderId="0"/>
  </x:cellStyleXfs>
  <x:cellXfs count="7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2" xfId="0" applyNumberFormat="1" applyFont="1" applyFill="1" applyBorder="1" applyAlignment="1">
      <x:alignment horizontal="center"/>
    </x:xf>
    <x:xf numFmtId="0" fontId="4" fillId="5" borderId="3" xfId="0" applyNumberFormat="1" applyFont="1" applyFill="1" applyBorder="1" applyAlignment="1">
      <x:alignment horizontal="center"/>
    </x:xf>
    <x:xf numFmtId="0" fontId="4" fillId="5" borderId="4" xfId="0" applyNumberFormat="1" applyFont="1" applyFill="1" applyBorder="1" applyAlignment="1">
      <x:alignment horizontal="center"/>
    </x:xf>
    <x:xf numFmtId="0" fontId="4" fillId="5" borderId="2" xfId="0" applyNumberFormat="1" applyFont="1" applyFill="1" applyBorder="1" applyAlignment="1">
      <x:alignment horizontal="center" vertical="center"/>
    </x:xf>
    <x:xf numFmtId="0" fontId="4" fillId="5" borderId="3" xfId="0" applyNumberFormat="1" applyFont="1" applyFill="1" applyBorder="1" applyAlignment="1">
      <x:alignment horizontal="center" vertical="center"/>
    </x:xf>
    <x:xf numFmtId="0" fontId="4" fillId="5" borderId="4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/>
    <x:xf numFmtId="0" fontId="3" fillId="2" borderId="5" xfId="0" applyNumberFormat="1" applyFont="1" applyFill="1" applyBorder="1"/>
    <x:xf numFmtId="0" fontId="3" fillId="2" borderId="5" xfId="0" applyNumberFormat="1" applyFont="1" applyFill="1" applyBorder="1" applyAlignment="1">
      <x:alignment wrapText="1"/>
    </x:xf>
    <x:xf numFmtId="0" fontId="3" fillId="2" borderId="5" xfId="0" applyNumberFormat="1" applyFont="1" applyFill="1" applyBorder="1" applyAlignment="1">
      <x:alignment horizontal="center" wrapText="1"/>
    </x:xf>
    <x:xf numFmtId="0" fontId="3" fillId="2" borderId="5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/>
    <x:xf numFmtId="0" fontId="0" fillId="0" borderId="3" xfId="0" applyNumberFormat="1" applyFont="1" applyFill="1" applyBorder="1"/>
    <x:xf numFmtId="200" fontId="0" fillId="0" borderId="6" xfId="0" applyNumberFormat="1" applyFont="1" applyFill="1" applyBorder="1"/>
    <x:xf numFmtId="200" fontId="0" fillId="0" borderId="3" xfId="0" applyNumberFormat="1" applyFont="1" applyFill="1" applyBorder="1"/>
    <x:xf numFmtId="200" fontId="0" fillId="0" borderId="6" xfId="0" applyNumberFormat="1" applyFont="1" applyFill="1" applyBorder="1" applyAlignment="1">
      <x:alignment horizontal="center"/>
    </x:xf>
    <x:xf numFmtId="200" fontId="0" fillId="0" borderId="3" xfId="0" applyNumberFormat="1" applyFont="1" applyFill="1" applyBorder="1" applyAlignment="1">
      <x:alignment horizontal="center"/>
    </x:xf>
    <x:xf numFmtId="0" fontId="0" fillId="0" borderId="6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5" fillId="0" borderId="6" xfId="0" applyNumberFormat="1" applyFont="1" applyFill="1" applyBorder="1" applyAlignment="1">
      <x:alignment vertical="top" wrapText="1"/>
    </x:xf>
    <x:xf numFmtId="0" fontId="5" fillId="0" borderId="3" xfId="0" applyNumberFormat="1" applyFont="1" applyFill="1" applyBorder="1" applyAlignment="1">
      <x:alignment vertical="top" wrapText="1"/>
    </x:xf>
    <x:xf numFmtId="0" fontId="0" fillId="6" borderId="6" xfId="0" applyNumberFormat="1" applyFont="1" applyFill="1" applyBorder="1" applyAlignment="1">
      <x:alignment vertical="top" wrapText="1"/>
    </x:xf>
    <x:xf numFmtId="0" fontId="0" fillId="6" borderId="3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7" xfId="0" applyNumberFormat="1" applyFont="1" applyFill="1" applyBorder="1"/>
    <x:xf numFmtId="0" fontId="6" fillId="6" borderId="8" xfId="0" applyNumberFormat="1" applyFont="1" applyFill="1" applyBorder="1"/>
    <x:xf numFmtId="0" fontId="6" fillId="6" borderId="9" xfId="0" applyNumberFormat="1" applyFont="1" applyFill="1" applyBorder="1"/>
    <x:xf numFmtId="0" fontId="6" fillId="6" borderId="10" xfId="0" applyNumberFormat="1" applyFont="1" applyFill="1" applyBorder="1"/>
    <x:xf numFmtId="0" fontId="6" fillId="6" borderId="11" xfId="0" applyNumberFormat="1" applyFont="1" applyFill="1" applyBorder="1"/>
    <x:xf numFmtId="0" fontId="6" fillId="6" borderId="12" xfId="0" applyNumberFormat="1" applyFont="1" applyFill="1" applyBorder="1"/>
    <x:xf numFmtId="0" fontId="6" fillId="6" borderId="13" xfId="0" applyNumberFormat="1" applyFont="1" applyFill="1" applyBorder="1"/>
    <x:xf numFmtId="0" fontId="6" fillId="6" borderId="14" xfId="0" applyNumberFormat="1" applyFont="1" applyFill="1" applyBorder="1"/>
    <x:xf numFmtId="0" fontId="6" fillId="6" borderId="7" xfId="0" applyNumberFormat="1" applyFont="1" applyFill="1" applyBorder="1" applyAlignment="1">
      <x:alignment wrapText="1"/>
    </x:xf>
    <x:xf numFmtId="0" fontId="6" fillId="6" borderId="8" xfId="0" applyNumberFormat="1" applyFont="1" applyFill="1" applyBorder="1" applyAlignment="1">
      <x:alignment wrapText="1"/>
    </x:xf>
    <x:xf numFmtId="0" fontId="6" fillId="6" borderId="9" xfId="0" applyNumberFormat="1" applyFont="1" applyFill="1" applyBorder="1" applyAlignment="1">
      <x:alignment wrapText="1"/>
    </x:xf>
    <x:xf numFmtId="0" fontId="6" fillId="6" borderId="1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wrapText="1"/>
    </x:xf>
    <x:xf numFmtId="0" fontId="6" fillId="6" borderId="11" xfId="0" applyNumberFormat="1" applyFont="1" applyFill="1" applyBorder="1" applyAlignment="1">
      <x:alignment wrapText="1"/>
    </x:xf>
    <x:xf numFmtId="0" fontId="6" fillId="6" borderId="12" xfId="0" applyNumberFormat="1" applyFont="1" applyFill="1" applyBorder="1" applyAlignment="1">
      <x:alignment wrapText="1"/>
    </x:xf>
    <x:xf numFmtId="0" fontId="6" fillId="6" borderId="13" xfId="0" applyNumberFormat="1" applyFont="1" applyFill="1" applyBorder="1" applyAlignment="1">
      <x:alignment wrapText="1"/>
    </x:xf>
    <x:xf numFmtId="0" fontId="6" fillId="6" borderId="14" xfId="0" applyNumberFormat="1" applyFont="1" applyFill="1" applyBorder="1" applyAlignment="1">
      <x:alignment wrapText="1"/>
    </x:xf>
    <x:xf numFmtId="0" fontId="6" fillId="6" borderId="7" xfId="0" applyNumberFormat="1" applyFont="1" applyFill="1" applyBorder="1" applyAlignment="1">
      <x:alignment vertical="center" wrapText="1"/>
    </x:xf>
    <x:xf numFmtId="0" fontId="6" fillId="6" borderId="8" xfId="0" applyNumberFormat="1" applyFont="1" applyFill="1" applyBorder="1" applyAlignment="1">
      <x:alignment vertical="center" wrapText="1"/>
    </x:xf>
    <x:xf numFmtId="0" fontId="6" fillId="6" borderId="9" xfId="0" applyNumberFormat="1" applyFont="1" applyFill="1" applyBorder="1" applyAlignment="1">
      <x:alignment vertical="center" wrapText="1"/>
    </x:xf>
    <x:xf numFmtId="0" fontId="6" fillId="6" borderId="10" xfId="0" applyNumberFormat="1" applyFont="1" applyFill="1" applyBorder="1" applyAlignment="1">
      <x:alignment vertical="center" wrapText="1"/>
    </x:xf>
    <x:xf numFmtId="0" fontId="6" fillId="6" borderId="0" xfId="0" applyNumberFormat="1" applyFont="1" applyFill="1" applyBorder="1" applyAlignment="1">
      <x:alignment vertical="center" wrapText="1"/>
    </x:xf>
    <x:xf numFmtId="0" fontId="6" fillId="6" borderId="11" xfId="0" applyNumberFormat="1" applyFont="1" applyFill="1" applyBorder="1" applyAlignment="1">
      <x:alignment vertical="center" wrapText="1"/>
    </x:xf>
    <x:xf numFmtId="0" fontId="6" fillId="6" borderId="12" xfId="0" applyNumberFormat="1" applyFont="1" applyFill="1" applyBorder="1" applyAlignment="1">
      <x:alignment vertical="center" wrapText="1"/>
    </x:xf>
    <x:xf numFmtId="0" fontId="6" fillId="6" borderId="13" xfId="0" applyNumberFormat="1" applyFont="1" applyFill="1" applyBorder="1" applyAlignment="1">
      <x:alignment vertical="center" wrapText="1"/>
    </x:xf>
    <x:xf numFmtId="0" fontId="6" fillId="6" borderId="14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8">
    <x:dxf>
      <x:fill>
        <x:patternFill patternType="solid">
          <x:bgColor rgb="FFE2F0D9"/>
        </x:patternFill>
      </x:fill>
    </x:dxf>
    <x:dxf>
      <x:fill>
        <x:patternFill patternType="solid">
          <x:bgColor rgb="FFE7E6E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CE4D6"/>
        </x:patternFill>
      </x:fill>
    </x:dxf>
    <x:dxf>
      <x:font>
        <x:b/>
      </x:font>
      <x:fill>
        <x:patternFill patternType="solid">
          <x:bgColor rgb="FFE2F0D9"/>
        </x:patternFill>
      </x:fill>
    </x:dxf>
    <x:dxf>
      <x:fill>
        <x:patternFill patternType="solid">
          <x:bgColor rgb="FFE7E6E6"/>
        </x:patternFill>
      </x:fill>
    </x:dxf>
    <x:dxf>
      <x:font>
        <x:b/>
      </x:font>
      <x:fill>
        <x:patternFill patternType="solid">
          <x:bgColor rgb="FFFCE4D6"/>
        </x:patternFill>
      </x:fill>
    </x:dxf>
    <x:dxf>
      <x:font>
        <x:b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fba84113fa4698" /><Relationship Type="http://schemas.openxmlformats.org/officeDocument/2006/relationships/theme" Target="/xl/theme/theme1.xml" Id="R243fba22d5aa46a3" /><Relationship Type="http://schemas.openxmlformats.org/officeDocument/2006/relationships/sharedStrings" Target="/xl/sharedStrings.xml" Id="R7237a1354fea4f90" /><Relationship Type="http://schemas.openxmlformats.org/officeDocument/2006/relationships/worksheet" Target="/xl/worksheets/sheet1.xml" Id="R8706479d512242a7" /><Relationship Type="http://schemas.openxmlformats.org/officeDocument/2006/relationships/worksheet" Target="/xl/worksheets/sheet2.xml" Id="R7809b0da451041b7" /><Relationship Type="http://schemas.openxmlformats.org/officeDocument/2006/relationships/worksheet" Target="/xl/worksheets/sheet3.xml" Id="R66d2f9211b47457e" /><Relationship Type="http://schemas.openxmlformats.org/officeDocument/2006/relationships/worksheet" Target="/xl/worksheets/sheet4.xml" Id="R830415e7919d41ee" /><Relationship Type="http://schemas.openxmlformats.org/officeDocument/2006/relationships/worksheet" Target="/xl/worksheets/sheet5.xml" Id="Re3ed802e91244cd7" /></Relationships>
</file>

<file path=xl/tables/table1.xml><?xml version="1.0" encoding="utf-8"?>
<x:table xmlns:x="http://schemas.openxmlformats.org/spreadsheetml/2006/main" id="1" name="CF05AToolAudit" displayName="CF05AToolAudit" ref="A1:AF121" headerRowCount="1" totalsRowCount="0" totalsRowShown="0">
  <x:tableColumns count="32">
    <x:tableColumn id="1" name="model_id"/>
    <x:tableColumn id="2" name="scenario"/>
    <x:tableColumn id="3" name="tool_name"/>
    <x:tableColumn id="4" name="tool_type"/>
    <x:tableColumn id="5" name="source_api_name"/>
    <x:tableColumn id="6" name="runtime_openai_tool_name"/>
    <x:tableColumn id="7" name="registry_api_name"/>
    <x:tableColumn id="8" name="api_contract_alignment"/>
    <x:tableColumn id="9" name="priority"/>
    <x:tableColumn id="10" name="requires_training"/>
    <x:tableColumn id="11" name="core_method"/>
    <x:tableColumn id="12" name="main_input"/>
    <x:tableColumn id="13" name="main_output"/>
    <x:tableColumn id="14" name="applicable_boundary_risk"/>
    <x:tableColumn id="15" name="implementation_status"/>
    <x:tableColumn id="16" name="registry_source_file"/>
    <x:tableColumn id="17" name="normal_test_evidence"/>
    <x:tableColumn id="18" name="boundary_test_evidence"/>
    <x:tableColumn id="19" name="independence_precheck"/>
    <x:tableColumn id="20" name="family_group_id"/>
    <x:tableColumn id="21" name="signature_peer_ids"/>
    <x:tableColumn id="22" name="deprecated_page_evidence"/>
    <x:tableColumn id="23" name="cf05_audit_status"/>
    <x:tableColumn id="24" name="review_decision"/>
    <x:tableColumn id="25" name="readiness_gate"/>
    <x:tableColumn id="26" name="reviewer"/>
    <x:tableColumn id="27" name="reviewed_at"/>
    <x:tableColumn id="28" name="review_note"/>
    <x:tableColumn id="29" name="source_row"/>
    <x:tableColumn id="30" name="data_dependency"/>
    <x:tableColumn id="31" name="validation_method"/>
    <x:tableColumn id="32" name="precheck_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F05AFamilyReview" displayName="CF05AFamilyReview" ref="A4:M13" headerRowCount="1" totalsRowCount="0" totalsRowShown="0">
  <x:tableColumns count="13">
    <x:tableColumn id="1" name="family_group_id"/>
    <x:tableColumn id="2" name="scenario"/>
    <x:tableColumn id="3" name="core_method"/>
    <x:tableColumn id="4" name="main_input"/>
    <x:tableColumn id="5" name="main_output"/>
    <x:tableColumn id="6" name="member_ids"/>
    <x:tableColumn id="7" name="member_count"/>
    <x:tableColumn id="8" name="precheck_finding"/>
    <x:tableColumn id="9" name="required_review"/>
    <x:tableColumn id="10" name="review_decision"/>
    <x:tableColumn id="11" name="reviewer"/>
    <x:tableColumn id="12" name="reviewed_at"/>
    <x:tableColumn id="13" name="review_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992618b400742b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93058bb5b554e2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7" hidden="0" customWidth="1"/>
    <x:col min="4" max="4" width="16" hidden="0" customWidth="1"/>
    <x:col min="5" max="5" width="14" hidden="0" customWidth="1"/>
    <x:col min="6" max="6" width="16" hidden="0" customWidth="1"/>
    <x:col min="7" max="7" width="20" hidden="0" customWidth="1"/>
    <x:col min="8" max="8" width="38" hidden="0" customWidth="1"/>
  </x:cols>
  <x:sheetData>
    <x:row r="1" ht="34" customHeight="1">
      <x:c r="A1" s="4" t="str">
        <x:v>CF-05A｜120个冶金工具清单独立性与实现状态预审</x:v>
      </x:c>
      <x:c r="B1" s="4" t="str">
        <x:v>CF-05A｜120个冶金工具清单独立性与实现状态预审</x:v>
      </x:c>
      <x:c r="C1" s="4" t="str">
        <x:v>CF-05A｜120个冶金工具清单独立性与实现状态预审</x:v>
      </x:c>
      <x:c r="D1" s="4" t="str">
        <x:v>CF-05A｜120个冶金工具清单独立性与实现状态预审</x:v>
      </x:c>
      <x:c r="E1" s="4" t="str">
        <x:v>CF-05A｜120个冶金工具清单独立性与实现状态预审</x:v>
      </x:c>
      <x:c r="F1" s="4" t="str">
        <x:v>CF-05A｜120个冶金工具清单独立性与实现状态预审</x:v>
      </x:c>
      <x:c r="G1" s="4" t="str">
        <x:v>CF-05A｜120个冶金工具清单独立性与实现状态预审</x:v>
      </x:c>
      <x:c r="H1" s="4" t="str">
        <x:v>CF-05A｜120个冶金工具清单独立性与实现状态预审</x:v>
      </x:c>
    </x:row>
    <x:row r="2" ht="28" customHeight="1">
      <x:c r="A2" s="7" t="str">
        <x:v>AI辅助工程预审；不等同于CF-05正式联合审核。废弃页面不作为工具存在性证据。</x:v>
      </x:c>
      <x:c r="B2" s="7" t="str">
        <x:v>AI辅助工程预审；不等同于CF-05正式联合审核。废弃页面不作为工具存在性证据。</x:v>
      </x:c>
      <x:c r="C2" s="7" t="str">
        <x:v>AI辅助工程预审；不等同于CF-05正式联合审核。废弃页面不作为工具存在性证据。</x:v>
      </x:c>
      <x:c r="D2" s="7" t="str">
        <x:v>AI辅助工程预审；不等同于CF-05正式联合审核。废弃页面不作为工具存在性证据。</x:v>
      </x:c>
      <x:c r="E2" s="7" t="str">
        <x:v>AI辅助工程预审；不等同于CF-05正式联合审核。废弃页面不作为工具存在性证据。</x:v>
      </x:c>
      <x:c r="F2" s="7" t="str">
        <x:v>AI辅助工程预审；不等同于CF-05正式联合审核。废弃页面不作为工具存在性证据。</x:v>
      </x:c>
      <x:c r="G2" s="7" t="str">
        <x:v>AI辅助工程预审；不等同于CF-05正式联合审核。废弃页面不作为工具存在性证据。</x:v>
      </x:c>
      <x:c r="H2" s="7" t="str">
        <x:v>AI辅助工程预审；不等同于CF-05正式联合审核。废弃页面不作为工具存在性证据。</x:v>
      </x:c>
    </x:row>
    <x:row r="4">
      <x:c r="A4" s="13" t="str">
        <x:v>清单总数</x:v>
      </x:c>
      <x:c r="B4" s="13" t="str">
        <x:v>代码已实现并有回归证据</x:v>
      </x:c>
      <x:c r="C4" s="13" t="str">
        <x:v>仅规划未实现</x:v>
      </x:c>
      <x:c r="D4" s="13" t="str">
        <x:v>需家族复审</x:v>
      </x:c>
      <x:c r="E4" s="13" t="str">
        <x:v>唯一API名</x:v>
      </x:c>
      <x:c r="F4" s="13" t="str">
        <x:v>API映射待统一</x:v>
      </x:c>
      <x:c r="G4" s="13" t="str">
        <x:v>CF-05正式接受</x:v>
      </x:c>
      <x:c r="H4" s="13" t="str">
        <x:v>当前状态</x:v>
      </x:c>
    </x:row>
    <x:row r="5" ht="34" customHeight="1">
      <x:c r="A5" s="22" t="n">
        <x:f>COUNTA('工具审计'!$A$2:$A$121)</x:f>
        <x:v>120</x:v>
      </x:c>
      <x:c r="B5" s="23" t="n">
        <x:f>COUNTIF('工具审计'!$O$2:$O$121,"implemented_tested_unreviewed")</x:f>
        <x:v>17</x:v>
      </x:c>
      <x:c r="C5" s="23" t="n">
        <x:f>COUNTIF('工具审计'!$O$2:$O$121,"planned_unimplemented")</x:f>
        <x:v>103</x:v>
      </x:c>
      <x:c r="D5" s="23" t="n">
        <x:f>COUNTIF('工具审计'!$S$2:$S$121,"needs_family_review")</x:f>
        <x:v>25</x:v>
      </x:c>
      <x:c r="E5" s="23" t="n">
        <x:f>COUNTA('工具审计'!$E$2:$E$121)</x:f>
        <x:v>120</x:v>
      </x:c>
      <x:c r="F5" s="23" t="n">
        <x:f>COUNTIF('工具审计'!$H$2:$H$121,"mapping_required_source_vs_runtime")</x:f>
        <x:v>17</x:v>
      </x:c>
      <x:c r="G5" s="23" t="n">
        <x:f>COUNTIF('工具审计'!$X$2:$X$121,"接受")</x:f>
        <x:v>0</x:v>
      </x:c>
      <x:c r="H5" s="24" t="str">
        <x:f>"in_progress"</x:f>
        <x:v>in_progress</x:v>
      </x:c>
    </x:row>
    <x:row r="8">
      <x:c r="A8" s="29" t="str">
        <x:v>场景</x:v>
      </x:c>
      <x:c r="B8" s="29" t="str">
        <x:v>规划条目</x:v>
      </x:c>
      <x:c r="C8" s="29" t="str">
        <x:v>代码实现</x:v>
      </x:c>
      <x:c r="D8" s="29" t="str">
        <x:v>需家族复审</x:v>
      </x:c>
      <x:c r="E8" s="29" t="str">
        <x:v>人工接受</x:v>
      </x:c>
      <x:c r="G8" s="29" t="str">
        <x:v>关键结论</x:v>
      </x:c>
      <x:c r="H8" s="29" t="str">
        <x:v>判断</x:v>
      </x:c>
    </x:row>
    <x:row r="9">
      <x:c r="A9" s="30" t="str">
        <x:v>通用数据与校验</x:v>
      </x:c>
      <x:c r="B9" s="34" t="n">
        <x:f>COUNTIF('工具审计'!$B$2:$B$121,A9)</x:f>
        <x:v>10</x:v>
      </x:c>
      <x:c r="C9" s="34" t="n">
        <x:f>COUNTIFS('工具审计'!$B$2:$B$121,A9,'工具审计'!$O$2:$O$121,"implemented_tested_unreviewed")</x:f>
        <x:v>5</x:v>
      </x:c>
      <x:c r="D9" s="34" t="n">
        <x:f>COUNTIFS('工具审计'!$B$2:$B$121,A9,'工具审计'!$S$2:$S$121,"needs_family_review")</x:f>
        <x:v>0</x:v>
      </x:c>
      <x:c r="E9" s="34" t="n">
        <x:f>COUNTIFS('工具审计'!$B$2:$B$121,A9,'工具审计'!$X$2:$X$121,"接受")</x:f>
        <x:v>0</x:v>
      </x:c>
      <x:c r="G9" s="40" t="str">
        <x:v>17工具基线</x:v>
      </x:c>
      <x:c r="H9" s="42" t="str">
        <x:v>代码存在且有回归证据，但仍未获CF-05正式接受</x:v>
      </x:c>
    </x:row>
    <x:row r="10">
      <x:c r="A10" s="31" t="str">
        <x:v>热力学与相平衡</x:v>
      </x:c>
      <x:c r="B10" s="35" t="n">
        <x:f>COUNTIF('工具审计'!$B$2:$B$121,A10)</x:f>
        <x:v>25</x:v>
      </x:c>
      <x:c r="C10" s="35" t="n">
        <x:f>COUNTIFS('工具审计'!$B$2:$B$121,A10,'工具审计'!$O$2:$O$121,"implemented_tested_unreviewed")</x:f>
        <x:v>10</x:v>
      </x:c>
      <x:c r="D10" s="35" t="n">
        <x:f>COUNTIFS('工具审计'!$B$2:$B$121,A10,'工具审计'!$S$2:$S$121,"needs_family_review")</x:f>
        <x:v>13</x:v>
      </x:c>
      <x:c r="E10" s="35" t="n">
        <x:f>COUNTIFS('工具审计'!$B$2:$B$121,A10,'工具审计'!$X$2:$X$121,"接受")</x:f>
        <x:v>0</x:v>
      </x:c>
      <x:c r="G10" s="41" t="str">
        <x:v>50/100/120工具池</x:v>
      </x:c>
      <x:c r="H10" s="43" t="str">
        <x:v>当前不可构造为真实可调用池</x:v>
      </x:c>
    </x:row>
    <x:row r="11">
      <x:c r="A11" s="31" t="str">
        <x:v>动力学与传递</x:v>
      </x:c>
      <x:c r="B11" s="35" t="n">
        <x:f>COUNTIF('工具审计'!$B$2:$B$121,A11)</x:f>
        <x:v>10</x:v>
      </x:c>
      <x:c r="C11" s="35" t="n">
        <x:f>COUNTIFS('工具审计'!$B$2:$B$121,A11,'工具审计'!$O$2:$O$121,"implemented_tested_unreviewed")</x:f>
        <x:v>2</x:v>
      </x:c>
      <x:c r="D11" s="35" t="n">
        <x:f>COUNTIFS('工具审计'!$B$2:$B$121,A11,'工具审计'!$S$2:$S$121,"needs_family_review")</x:f>
        <x:v>0</x:v>
      </x:c>
      <x:c r="E11" s="35" t="n">
        <x:f>COUNTIFS('工具审计'!$B$2:$B$121,A11,'工具审计'!$X$2:$X$121,"接受")</x:f>
        <x:v>0</x:v>
      </x:c>
      <x:c r="G11" s="41" t="str">
        <x:v>独立性</x:v>
      </x:c>
      <x:c r="H11" s="43" t="str">
        <x:v>95项初步独立；25项分布在9个家族中待复审</x:v>
      </x:c>
    </x:row>
    <x:row r="12">
      <x:c r="A12" s="31" t="str">
        <x:v>转炉炼钢</x:v>
      </x:c>
      <x:c r="B12" s="35" t="n">
        <x:f>COUNTIF('工具审计'!$B$2:$B$121,A12)</x:f>
        <x:v>20</x:v>
      </x:c>
      <x:c r="C12" s="35" t="n">
        <x:f>COUNTIFS('工具审计'!$B$2:$B$121,A12,'工具审计'!$O$2:$O$121,"implemented_tested_unreviewed")</x:f>
        <x:v>0</x:v>
      </x:c>
      <x:c r="D12" s="35" t="n">
        <x:f>COUNTIFS('工具审计'!$B$2:$B$121,A12,'工具审计'!$S$2:$S$121,"needs_family_review")</x:f>
        <x:v>4</x:v>
      </x:c>
      <x:c r="E12" s="35" t="n">
        <x:f>COUNTIFS('工具审计'!$B$2:$B$121,A12,'工具审计'!$X$2:$X$121,"接受")</x:f>
        <x:v>0</x:v>
      </x:c>
      <x:c r="G12" s="41" t="str">
        <x:v>命名契约</x:v>
      </x:c>
      <x:c r="H12" s="43" t="str">
        <x:v>17个实现项均需明确规划API名、内部api_name与LLM函数名的映射</x:v>
      </x:c>
    </x:row>
    <x:row r="13">
      <x:c r="A13" s="31" t="str">
        <x:v>高炉低碳</x:v>
      </x:c>
      <x:c r="B13" s="35" t="n">
        <x:f>COUNTIF('工具审计'!$B$2:$B$121,A13)</x:f>
        <x:v>20</x:v>
      </x:c>
      <x:c r="C13" s="35" t="n">
        <x:f>COUNTIFS('工具审计'!$B$2:$B$121,A13,'工具审计'!$O$2:$O$121,"implemented_tested_unreviewed")</x:f>
        <x:v>0</x:v>
      </x:c>
      <x:c r="D13" s="35" t="n">
        <x:f>COUNTIFS('工具审计'!$B$2:$B$121,A13,'工具审计'!$S$2:$S$121,"needs_family_review")</x:f>
        <x:v>2</x:v>
      </x:c>
      <x:c r="E13" s="35" t="n">
        <x:f>COUNTIFS('工具审计'!$B$2:$B$121,A13,'工具审计'!$X$2:$X$121,"接受")</x:f>
        <x:v>0</x:v>
      </x:c>
      <x:c r="G13" s="41" t="str">
        <x:v>废弃页面</x:v>
      </x:c>
      <x:c r="H13" s="43" t="str">
        <x:v>不计入工具有效性；以代码注册、测试与专业审核为准</x:v>
      </x:c>
    </x:row>
    <x:row r="14">
      <x:c r="A14" s="31" t="str">
        <x:v>连铸质量与二冷</x:v>
      </x:c>
      <x:c r="B14" s="35" t="n">
        <x:f>COUNTIF('工具审计'!$B$2:$B$121,A14)</x:f>
        <x:v>20</x:v>
      </x:c>
      <x:c r="C14" s="35" t="n">
        <x:f>COUNTIFS('工具审计'!$B$2:$B$121,A14,'工具审计'!$O$2:$O$121,"implemented_tested_unreviewed")</x:f>
        <x:v>0</x:v>
      </x:c>
      <x:c r="D14" s="35" t="n">
        <x:f>COUNTIFS('工具审计'!$B$2:$B$121,A14,'工具审计'!$S$2:$S$121,"needs_family_review")</x:f>
        <x:v>6</x:v>
      </x:c>
      <x:c r="E14" s="35" t="n">
        <x:f>COUNTIFS('工具审计'!$B$2:$B$121,A14,'工具审计'!$X$2:$X$121,"接受")</x:f>
        <x:v>0</x:v>
      </x:c>
    </x:row>
    <x:row r="15">
      <x:c r="A15" s="31" t="str">
        <x:v>仿真/优化/智能体支撑</x:v>
      </x:c>
      <x:c r="B15" s="35" t="n">
        <x:f>COUNTIF('工具审计'!$B$2:$B$121,A15)</x:f>
        <x:v>15</x:v>
      </x:c>
      <x:c r="C15" s="35" t="n">
        <x:f>COUNTIFS('工具审计'!$B$2:$B$121,A15,'工具审计'!$O$2:$O$121,"implemented_tested_unreviewed")</x:f>
        <x:v>0</x:v>
      </x:c>
      <x:c r="D15" s="35" t="n">
        <x:f>COUNTIFS('工具审计'!$B$2:$B$121,A15,'工具审计'!$S$2:$S$121,"needs_family_review")</x:f>
        <x:v>0</x:v>
      </x:c>
      <x:c r="E15" s="35" t="n">
        <x:f>COUNTIFS('工具审计'!$B$2:$B$121,A15,'工具审计'!$X$2:$X$121,"接受")</x:f>
        <x:v>0</x:v>
      </x:c>
    </x:row>
    <x:row r="18">
      <x:c r="A18" s="63" t="str">
        <x:v>结论：120项是结构完整的规划清单，不是120个已经可调用的工具。当前可验证实现为17项，其余103项仅为规划；CF-02的50/100/120池和CF-06 Full Schema可行性检查，必须等待实现与CF-05审核推进。预审没有把任何条目标记为正式接受。</x:v>
      </x:c>
      <x:c r="B18" s="64" t="str">
        <x:v>结论：120项是结构完整的规划清单，不是120个已经可调用的工具。当前可验证实现为17项，其余103项仅为规划；CF-02的50/100/120池和CF-06 Full Schema可行性检查，必须等待实现与CF-05审核推进。预审没有把任何条目标记为正式接受。</x:v>
      </x:c>
      <x:c r="C18" s="64" t="str">
        <x:v>结论：120项是结构完整的规划清单，不是120个已经可调用的工具。当前可验证实现为17项，其余103项仅为规划；CF-02的50/100/120池和CF-06 Full Schema可行性检查，必须等待实现与CF-05审核推进。预审没有把任何条目标记为正式接受。</x:v>
      </x:c>
      <x:c r="D18" s="64" t="str">
        <x:v>结论：120项是结构完整的规划清单，不是120个已经可调用的工具。当前可验证实现为17项，其余103项仅为规划；CF-02的50/100/120池和CF-06 Full Schema可行性检查，必须等待实现与CF-05审核推进。预审没有把任何条目标记为正式接受。</x:v>
      </x:c>
      <x:c r="E18" s="64" t="str">
        <x:v>结论：120项是结构完整的规划清单，不是120个已经可调用的工具。当前可验证实现为17项，其余103项仅为规划；CF-02的50/100/120池和CF-06 Full Schema可行性检查，必须等待实现与CF-05审核推进。预审没有把任何条目标记为正式接受。</x:v>
      </x:c>
      <x:c r="F18" s="64" t="str">
        <x:v>结论：120项是结构完整的规划清单，不是120个已经可调用的工具。当前可验证实现为17项，其余103项仅为规划；CF-02的50/100/120池和CF-06 Full Schema可行性检查，必须等待实现与CF-05审核推进。预审没有把任何条目标记为正式接受。</x:v>
      </x:c>
      <x:c r="G18" s="64" t="str">
        <x:v>结论：120项是结构完整的规划清单，不是120个已经可调用的工具。当前可验证实现为17项，其余103项仅为规划；CF-02的50/100/120池和CF-06 Full Schema可行性检查，必须等待实现与CF-05审核推进。预审没有把任何条目标记为正式接受。</x:v>
      </x:c>
      <x:c r="H18" s="65" t="str">
        <x:v>结论：120项是结构完整的规划清单，不是120个已经可调用的工具。当前可验证实现为17项，其余103项仅为规划；CF-02的50/100/120池和CF-06 Full Schema可行性检查，必须等待实现与CF-05审核推进。预审没有把任何条目标记为正式接受。</x:v>
      </x:c>
    </x:row>
    <x:row r="19">
      <x:c r="A19" s="66" t="str">
        <x:v>结论：120项是结构完整的规划清单，不是120个已经可调用的工具。当前可验证实现为17项，其余103项仅为规划；CF-02的50/100/120池和CF-06 Full Schema可行性检查，必须等待实现与CF-05审核推进。预审没有把任何条目标记为正式接受。</x:v>
      </x:c>
      <x:c r="B19" s="67" t="str">
        <x:v>结论：120项是结构完整的规划清单，不是120个已经可调用的工具。当前可验证实现为17项，其余103项仅为规划；CF-02的50/100/120池和CF-06 Full Schema可行性检查，必须等待实现与CF-05审核推进。预审没有把任何条目标记为正式接受。</x:v>
      </x:c>
      <x:c r="C19" s="67" t="str">
        <x:v>结论：120项是结构完整的规划清单，不是120个已经可调用的工具。当前可验证实现为17项，其余103项仅为规划；CF-02的50/100/120池和CF-06 Full Schema可行性检查，必须等待实现与CF-05审核推进。预审没有把任何条目标记为正式接受。</x:v>
      </x:c>
      <x:c r="D19" s="67" t="str">
        <x:v>结论：120项是结构完整的规划清单，不是120个已经可调用的工具。当前可验证实现为17项，其余103项仅为规划；CF-02的50/100/120池和CF-06 Full Schema可行性检查，必须等待实现与CF-05审核推进。预审没有把任何条目标记为正式接受。</x:v>
      </x:c>
      <x:c r="E19" s="67" t="str">
        <x:v>结论：120项是结构完整的规划清单，不是120个已经可调用的工具。当前可验证实现为17项，其余103项仅为规划；CF-02的50/100/120池和CF-06 Full Schema可行性检查，必须等待实现与CF-05审核推进。预审没有把任何条目标记为正式接受。</x:v>
      </x:c>
      <x:c r="F19" s="67" t="str">
        <x:v>结论：120项是结构完整的规划清单，不是120个已经可调用的工具。当前可验证实现为17项，其余103项仅为规划；CF-02的50/100/120池和CF-06 Full Schema可行性检查，必须等待实现与CF-05审核推进。预审没有把任何条目标记为正式接受。</x:v>
      </x:c>
      <x:c r="G19" s="67" t="str">
        <x:v>结论：120项是结构完整的规划清单，不是120个已经可调用的工具。当前可验证实现为17项，其余103项仅为规划；CF-02的50/100/120池和CF-06 Full Schema可行性检查，必须等待实现与CF-05审核推进。预审没有把任何条目标记为正式接受。</x:v>
      </x:c>
      <x:c r="H19" s="68" t="str">
        <x:v>结论：120项是结构完整的规划清单，不是120个已经可调用的工具。当前可验证实现为17项，其余103项仅为规划；CF-02的50/100/120池和CF-06 Full Schema可行性检查，必须等待实现与CF-05审核推进。预审没有把任何条目标记为正式接受。</x:v>
      </x:c>
    </x:row>
    <x:row r="20">
      <x:c r="A20" s="69" t="str">
        <x:v>结论：120项是结构完整的规划清单，不是120个已经可调用的工具。当前可验证实现为17项，其余103项仅为规划；CF-02的50/100/120池和CF-06 Full Schema可行性检查，必须等待实现与CF-05审核推进。预审没有把任何条目标记为正式接受。</x:v>
      </x:c>
      <x:c r="B20" s="70" t="str">
        <x:v>结论：120项是结构完整的规划清单，不是120个已经可调用的工具。当前可验证实现为17项，其余103项仅为规划；CF-02的50/100/120池和CF-06 Full Schema可行性检查，必须等待实现与CF-05审核推进。预审没有把任何条目标记为正式接受。</x:v>
      </x:c>
      <x:c r="C20" s="70" t="str">
        <x:v>结论：120项是结构完整的规划清单，不是120个已经可调用的工具。当前可验证实现为17项，其余103项仅为规划；CF-02的50/100/120池和CF-06 Full Schema可行性检查，必须等待实现与CF-05审核推进。预审没有把任何条目标记为正式接受。</x:v>
      </x:c>
      <x:c r="D20" s="70" t="str">
        <x:v>结论：120项是结构完整的规划清单，不是120个已经可调用的工具。当前可验证实现为17项，其余103项仅为规划；CF-02的50/100/120池和CF-06 Full Schema可行性检查，必须等待实现与CF-05审核推进。预审没有把任何条目标记为正式接受。</x:v>
      </x:c>
      <x:c r="E20" s="70" t="str">
        <x:v>结论：120项是结构完整的规划清单，不是120个已经可调用的工具。当前可验证实现为17项，其余103项仅为规划；CF-02的50/100/120池和CF-06 Full Schema可行性检查，必须等待实现与CF-05审核推进。预审没有把任何条目标记为正式接受。</x:v>
      </x:c>
      <x:c r="F20" s="70" t="str">
        <x:v>结论：120项是结构完整的规划清单，不是120个已经可调用的工具。当前可验证实现为17项，其余103项仅为规划；CF-02的50/100/120池和CF-06 Full Schema可行性检查，必须等待实现与CF-05审核推进。预审没有把任何条目标记为正式接受。</x:v>
      </x:c>
      <x:c r="G20" s="70" t="str">
        <x:v>结论：120项是结构完整的规划清单，不是120个已经可调用的工具。当前可验证实现为17项，其余103项仅为规划；CF-02的50/100/120池和CF-06 Full Schema可行性检查，必须等待实现与CF-05审核推进。预审没有把任何条目标记为正式接受。</x:v>
      </x:c>
      <x:c r="H20" s="71" t="str">
        <x:v>结论：120项是结构完整的规划清单，不是120个已经可调用的工具。当前可验证实现为17项，其余103项仅为规划；CF-02的50/100/120池和CF-06 Full Schema可行性检查，必须等待实现与CF-05审核推进。预审没有把任何条目标记为正式接受。</x:v>
      </x:c>
    </x:row>
  </x:sheetData>
  <x:mergeCells>
    <x:mergeCell ref="A1:H1"/>
    <x:mergeCell ref="A2:H2"/>
    <x:mergeCell ref="A18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7" hidden="0" customWidth="1"/>
    <x:col min="3" max="3" width="22" hidden="0" customWidth="1"/>
    <x:col min="4" max="4" width="18" hidden="0" customWidth="1"/>
    <x:col min="5" max="5" width="28" hidden="0" customWidth="1"/>
    <x:col min="6" max="6" width="18" hidden="0" customWidth="1"/>
    <x:col min="7" max="7" width="18" hidden="0" customWidth="1"/>
    <x:col min="8" max="8" width="27" hidden="0" customWidth="1"/>
    <x:col min="9" max="9" width="9" hidden="0" customWidth="1"/>
    <x:col min="10" max="10" width="11" hidden="0" customWidth="1"/>
    <x:col min="11" max="11" width="32" hidden="0" customWidth="1"/>
    <x:col min="12" max="12" width="34" hidden="0" customWidth="1"/>
    <x:col min="13" max="13" width="34" hidden="0" customWidth="1"/>
    <x:col min="14" max="14" width="40" hidden="0" customWidth="1"/>
    <x:col min="15" max="15" width="27" hidden="0" customWidth="1"/>
    <x:col min="16" max="16" width="29" hidden="0" customWidth="1"/>
    <x:col min="17" max="17" width="42" hidden="0" customWidth="1"/>
    <x:col min="18" max="18" width="42" hidden="0" customWidth="1"/>
    <x:col min="19" max="19" width="26" hidden="0" customWidth="1"/>
    <x:col min="20" max="20" width="11" hidden="0" customWidth="1"/>
    <x:col min="21" max="21" width="24" hidden="0" customWidth="1"/>
    <x:col min="22" max="22" width="25" hidden="0" customWidth="1"/>
    <x:col min="23" max="23" width="16" hidden="0" customWidth="1"/>
    <x:col min="24" max="24" width="15" hidden="0" customWidth="1"/>
    <x:col min="25" max="25" width="18" hidden="0" customWidth="1"/>
    <x:col min="26" max="26" width="14" hidden="0" customWidth="1"/>
    <x:col min="27" max="27" width="17" hidden="0" customWidth="1"/>
    <x:col min="28" max="28" width="36" hidden="0" customWidth="1"/>
    <x:col min="29" max="29" width="10" hidden="0" customWidth="1"/>
    <x:col min="30" max="30" width="36" hidden="0" customWidth="1"/>
    <x:col min="31" max="31" width="36" hidden="0" customWidth="1"/>
    <x:col min="32" max="32" width="42" hidden="0" customWidth="1"/>
  </x:cols>
  <x:sheetData>
    <x:row r="1">
      <x:c r="A1" s="29" t="str">
        <x:v>model_id</x:v>
      </x:c>
      <x:c r="B1" s="29" t="str">
        <x:v>scenario</x:v>
      </x:c>
      <x:c r="C1" s="29" t="str">
        <x:v>tool_name</x:v>
      </x:c>
      <x:c r="D1" s="29" t="str">
        <x:v>tool_type</x:v>
      </x:c>
      <x:c r="E1" s="29" t="str">
        <x:v>source_api_name</x:v>
      </x:c>
      <x:c r="F1" s="29" t="str">
        <x:v>runtime_openai_tool_name</x:v>
      </x:c>
      <x:c r="G1" s="29" t="str">
        <x:v>registry_api_name</x:v>
      </x:c>
      <x:c r="H1" s="29" t="str">
        <x:v>api_contract_alignment</x:v>
      </x:c>
      <x:c r="I1" s="29" t="str">
        <x:v>priority</x:v>
      </x:c>
      <x:c r="J1" s="29" t="str">
        <x:v>requires_training</x:v>
      </x:c>
      <x:c r="K1" s="29" t="str">
        <x:v>core_method</x:v>
      </x:c>
      <x:c r="L1" s="29" t="str">
        <x:v>main_input</x:v>
      </x:c>
      <x:c r="M1" s="29" t="str">
        <x:v>main_output</x:v>
      </x:c>
      <x:c r="N1" s="29" t="str">
        <x:v>applicable_boundary_risk</x:v>
      </x:c>
      <x:c r="O1" s="29" t="str">
        <x:v>implementation_status</x:v>
      </x:c>
      <x:c r="P1" s="29" t="str">
        <x:v>registry_source_file</x:v>
      </x:c>
      <x:c r="Q1" s="29" t="str">
        <x:v>normal_test_evidence</x:v>
      </x:c>
      <x:c r="R1" s="29" t="str">
        <x:v>boundary_test_evidence</x:v>
      </x:c>
      <x:c r="S1" s="29" t="str">
        <x:v>independence_precheck</x:v>
      </x:c>
      <x:c r="T1" s="29" t="str">
        <x:v>family_group_id</x:v>
      </x:c>
      <x:c r="U1" s="29" t="str">
        <x:v>signature_peer_ids</x:v>
      </x:c>
      <x:c r="V1" s="29" t="str">
        <x:v>deprecated_page_evidence</x:v>
      </x:c>
      <x:c r="W1" s="29" t="str">
        <x:v>cf05_audit_status</x:v>
      </x:c>
      <x:c r="X1" s="29" t="str">
        <x:v>review_decision</x:v>
      </x:c>
      <x:c r="Y1" s="29" t="str">
        <x:v>readiness_gate</x:v>
      </x:c>
      <x:c r="Z1" s="29" t="str">
        <x:v>reviewer</x:v>
      </x:c>
      <x:c r="AA1" s="29" t="str">
        <x:v>reviewed_at</x:v>
      </x:c>
      <x:c r="AB1" s="29" t="str">
        <x:v>review_note</x:v>
      </x:c>
      <x:c r="AC1" s="29" t="str">
        <x:v>source_row</x:v>
      </x:c>
      <x:c r="AD1" s="29" t="str">
        <x:v>data_dependency</x:v>
      </x:c>
      <x:c r="AE1" s="29" t="str">
        <x:v>validation_method</x:v>
      </x:c>
      <x:c r="AF1" s="29" t="str">
        <x:v>precheck_note</x:v>
      </x:c>
    </x:row>
    <x:row r="2">
      <x:c r="A2" s="73" t="str">
        <x:v>A001</x:v>
      </x:c>
      <x:c r="B2" s="73" t="str">
        <x:v>通用数据与校验</x:v>
      </x:c>
      <x:c r="C2" s="73" t="str">
        <x:v>单位换算</x:v>
      </x:c>
      <x:c r="D2" s="73" t="str">
        <x:v>确定性公式/规则</x:v>
      </x:c>
      <x:c r="E2" s="73" t="str">
        <x:v>convert_units</x:v>
      </x:c>
      <x:c r="F2" s="73" t="str">
        <x:v>A001</x:v>
      </x:c>
      <x:c r="G2" s="73" t="str">
        <x:v>model_a001</x:v>
      </x:c>
      <x:c r="H2" s="73" t="str">
        <x:v>mapping_required_source_vs_runtime</x:v>
      </x:c>
      <x:c r="I2" s="73" t="str">
        <x:v>P0</x:v>
      </x:c>
      <x:c r="J2" s="73" t="str">
        <x:v>否</x:v>
      </x:c>
      <x:c r="K2" s="73" t="str">
        <x:v>量纲分析与单位映射</x:v>
      </x:c>
      <x:c r="L2" s="73" t="str">
        <x:v>数值、源单位、目标单位</x:v>
      </x:c>
      <x:c r="M2" s="73" t="str">
        <x:v>换算值、换算因子</x:v>
      </x:c>
      <x:c r="N2" s="73" t="str">
        <x:v>仅在显式输入范围和单位体系内使用；超界必须返回警告</x:v>
      </x:c>
      <x:c r="O2" s="73" t="str">
        <x:v>implemented_tested_unreviewed</x:v>
      </x:c>
      <x:c r="P2" s="73" t="str">
        <x:v>Tools/models_core/models_a.py</x:v>
      </x:c>
      <x:c r="Q2" s="73" t="str">
        <x:v>Tools/tests/test_model_baseline.py::test_all_materialized_golden_cases_match_reference_values</x:v>
      </x:c>
      <x:c r="R2" s="73" t="str">
        <x:v>Tools/tests/test_model_baseline.py::test_generated_input_robustness_matrix_exceeds_one_hundred_cases</x:v>
      </x:c>
      <x:c r="S2" s="73" t="str">
        <x:v>provisionally_independent</x:v>
      </x:c>
      <x:c r="T2" s="73"/>
      <x:c r="U2" s="73" t="str"/>
      <x:c r="V2" s="73" t="str">
        <x:v>not_used_for_tool_acceptance</x:v>
      </x:c>
      <x:c r="W2" s="73" t="str">
        <x:v>unreviewed</x:v>
      </x:c>
      <x:c r="X2" s="73"/>
      <x:c r="Y2" s="73" t="str">
        <x:f>IF(X2="接受",IF(O2="implemented_tested_unreviewed",IF(S2="provisionally_independent","候选可用","需先完成家族复审"),"缺少实现"),IF(X2="拒绝","排除","未审批"))</x:f>
        <x:v>未审批</x:v>
      </x:c>
      <x:c r="Z2" s="73"/>
      <x:c r="AA2" s="73"/>
      <x:c r="AB2" s="73"/>
      <x:c r="AC2" s="73" t="n">
        <x:v>2</x:v>
      </x:c>
      <x:c r="AD2" s="73" t="str">
        <x:v>公开基础数据+项目数据字典</x:v>
      </x:c>
      <x:c r="AE2" s="73" t="str">
        <x:v>解析解/手算样例/边界值单元测试</x:v>
      </x:c>
      <x:c r="AF2" s="73" t="str">
        <x:v>代码注册表中存在实现且已有回归与输入鲁棒性测试；仍需专业适用域审核。</x:v>
      </x:c>
    </x:row>
    <x:row r="3">
      <x:c r="A3" s="73" t="str">
        <x:v>A002</x:v>
      </x:c>
      <x:c r="B3" s="73" t="str">
        <x:v>通用数据与校验</x:v>
      </x:c>
      <x:c r="C3" s="73" t="str">
        <x:v>化学式解析</x:v>
      </x:c>
      <x:c r="D3" s="73" t="str">
        <x:v>确定性公式/规则</x:v>
      </x:c>
      <x:c r="E3" s="73" t="str">
        <x:v>parse_chemical_formula</x:v>
      </x:c>
      <x:c r="F3" s="73" t="str">
        <x:v>A002</x:v>
      </x:c>
      <x:c r="G3" s="73" t="str">
        <x:v>model_a002</x:v>
      </x:c>
      <x:c r="H3" s="73" t="str">
        <x:v>mapping_required_source_vs_runtime</x:v>
      </x:c>
      <x:c r="I3" s="73" t="str">
        <x:v>P0</x:v>
      </x:c>
      <x:c r="J3" s="73" t="str">
        <x:v>否</x:v>
      </x:c>
      <x:c r="K3" s="73" t="str">
        <x:v>化学式词法解析、括号展开、元素计数</x:v>
      </x:c>
      <x:c r="L3" s="73" t="str">
        <x:v>化学式字符串</x:v>
      </x:c>
      <x:c r="M3" s="73" t="str">
        <x:v>元素—计量数字典、解析警告</x:v>
      </x:c>
      <x:c r="N3" s="73" t="str">
        <x:v>仅在显式输入范围和单位体系内使用；超界必须返回警告</x:v>
      </x:c>
      <x:c r="O3" s="73" t="str">
        <x:v>implemented_tested_unreviewed</x:v>
      </x:c>
      <x:c r="P3" s="73" t="str">
        <x:v>Tools/models_core/models_a.py</x:v>
      </x:c>
      <x:c r="Q3" s="73" t="str">
        <x:v>Tools/tests/test_model_baseline.py::test_all_materialized_golden_cases_match_reference_values</x:v>
      </x:c>
      <x:c r="R3" s="73" t="str">
        <x:v>Tools/tests/test_model_baseline.py::test_generated_input_robustness_matrix_exceeds_one_hundred_cases</x:v>
      </x:c>
      <x:c r="S3" s="73" t="str">
        <x:v>provisionally_independent</x:v>
      </x:c>
      <x:c r="T3" s="73"/>
      <x:c r="U3" s="73" t="str"/>
      <x:c r="V3" s="73" t="str">
        <x:v>not_used_for_tool_acceptance</x:v>
      </x:c>
      <x:c r="W3" s="73" t="str">
        <x:v>unreviewed</x:v>
      </x:c>
      <x:c r="X3" s="73"/>
      <x:c r="Y3" s="73" t="str">
        <x:f>IF(X3="接受",IF(O3="implemented_tested_unreviewed",IF(S3="provisionally_independent","候选可用","需先完成家族复审"),"缺少实现"),IF(X3="拒绝","排除","未审批"))</x:f>
        <x:v>未审批</x:v>
      </x:c>
      <x:c r="Z3" s="73"/>
      <x:c r="AA3" s="73"/>
      <x:c r="AB3" s="73"/>
      <x:c r="AC3" s="73" t="n">
        <x:v>3</x:v>
      </x:c>
      <x:c r="AD3" s="73" t="str">
        <x:v>公开基础数据+项目数据字典</x:v>
      </x:c>
      <x:c r="AE3" s="73" t="str">
        <x:v>解析解/手算样例/边界值单元测试</x:v>
      </x:c>
      <x:c r="AF3" s="73" t="str">
        <x:v>代码注册表中存在实现且已有回归与输入鲁棒性测试；仍需专业适用域审核。</x:v>
      </x:c>
    </x:row>
    <x:row r="4">
      <x:c r="A4" s="73" t="str">
        <x:v>A003</x:v>
      </x:c>
      <x:c r="B4" s="73" t="str">
        <x:v>通用数据与校验</x:v>
      </x:c>
      <x:c r="C4" s="73" t="str">
        <x:v>摩尔质量计算</x:v>
      </x:c>
      <x:c r="D4" s="73" t="str">
        <x:v>确定性公式/规则</x:v>
      </x:c>
      <x:c r="E4" s="73" t="str">
        <x:v>calc_molar_mass</x:v>
      </x:c>
      <x:c r="F4" s="73" t="str">
        <x:v>A003</x:v>
      </x:c>
      <x:c r="G4" s="73" t="str">
        <x:v>model_a003</x:v>
      </x:c>
      <x:c r="H4" s="73" t="str">
        <x:v>mapping_required_source_vs_runtime</x:v>
      </x:c>
      <x:c r="I4" s="73" t="str">
        <x:v>P0</x:v>
      </x:c>
      <x:c r="J4" s="73" t="str">
        <x:v>否</x:v>
      </x:c>
      <x:c r="K4" s="73" t="str">
        <x:v>元素原子量加权求和</x:v>
      </x:c>
      <x:c r="L4" s="73" t="str">
        <x:v>化学式/元素组成</x:v>
      </x:c>
      <x:c r="M4" s="73" t="str">
        <x:v>摩尔质量</x:v>
      </x:c>
      <x:c r="N4" s="73" t="str">
        <x:v>仅在显式输入范围和单位体系内使用；超界必须返回警告</x:v>
      </x:c>
      <x:c r="O4" s="73" t="str">
        <x:v>implemented_tested_unreviewed</x:v>
      </x:c>
      <x:c r="P4" s="73" t="str">
        <x:v>Tools/models_core/models_a.py</x:v>
      </x:c>
      <x:c r="Q4" s="73" t="str">
        <x:v>Tools/tests/test_model_baseline.py::test_all_materialized_golden_cases_match_reference_values</x:v>
      </x:c>
      <x:c r="R4" s="73" t="str">
        <x:v>Tools/tests/test_model_baseline.py::test_generated_input_robustness_matrix_exceeds_one_hundred_cases</x:v>
      </x:c>
      <x:c r="S4" s="73" t="str">
        <x:v>provisionally_independent</x:v>
      </x:c>
      <x:c r="T4" s="73"/>
      <x:c r="U4" s="73" t="str"/>
      <x:c r="V4" s="73" t="str">
        <x:v>not_used_for_tool_acceptance</x:v>
      </x:c>
      <x:c r="W4" s="73" t="str">
        <x:v>unreviewed</x:v>
      </x:c>
      <x:c r="X4" s="73"/>
      <x:c r="Y4" s="73" t="str">
        <x:f>IF(X4="接受",IF(O4="implemented_tested_unreviewed",IF(S4="provisionally_independent","候选可用","需先完成家族复审"),"缺少实现"),IF(X4="拒绝","排除","未审批"))</x:f>
        <x:v>未审批</x:v>
      </x:c>
      <x:c r="Z4" s="73"/>
      <x:c r="AA4" s="73"/>
      <x:c r="AB4" s="73"/>
      <x:c r="AC4" s="73" t="n">
        <x:v>4</x:v>
      </x:c>
      <x:c r="AD4" s="73" t="str">
        <x:v>公开基础数据+项目数据字典</x:v>
      </x:c>
      <x:c r="AE4" s="73" t="str">
        <x:v>解析解/手算样例/边界值单元测试</x:v>
      </x:c>
      <x:c r="AF4" s="73" t="str">
        <x:v>代码注册表中存在实现且已有回归与输入鲁棒性测试；仍需专业适用域审核。</x:v>
      </x:c>
    </x:row>
    <x:row r="5">
      <x:c r="A5" s="73" t="str">
        <x:v>A004</x:v>
      </x:c>
      <x:c r="B5" s="73" t="str">
        <x:v>通用数据与校验</x:v>
      </x:c>
      <x:c r="C5" s="73" t="str">
        <x:v>成分归一化</x:v>
      </x:c>
      <x:c r="D5" s="73" t="str">
        <x:v>确定性公式/规则</x:v>
      </x:c>
      <x:c r="E5" s="73" t="str">
        <x:v>normalize_composition</x:v>
      </x:c>
      <x:c r="F5" s="73" t="str">
        <x:v>A004</x:v>
      </x:c>
      <x:c r="G5" s="73" t="str">
        <x:v>model_a004</x:v>
      </x:c>
      <x:c r="H5" s="73" t="str">
        <x:v>mapping_required_source_vs_runtime</x:v>
      </x:c>
      <x:c r="I5" s="73" t="str">
        <x:v>P0</x:v>
      </x:c>
      <x:c r="J5" s="73" t="str">
        <x:v>否</x:v>
      </x:c>
      <x:c r="K5" s="73" t="str">
        <x:v>质量分数/摩尔分数归一化与基准转换</x:v>
      </x:c>
      <x:c r="L5" s="73" t="str">
        <x:v>组成、基准、容差</x:v>
      </x:c>
      <x:c r="M5" s="73" t="str">
        <x:v>归一化组成、偏差</x:v>
      </x:c>
      <x:c r="N5" s="73" t="str">
        <x:v>仅在显式输入范围和单位体系内使用；超界必须返回警告</x:v>
      </x:c>
      <x:c r="O5" s="73" t="str">
        <x:v>implemented_tested_unreviewed</x:v>
      </x:c>
      <x:c r="P5" s="73" t="str">
        <x:v>Tools/models_core/models_a.py</x:v>
      </x:c>
      <x:c r="Q5" s="73" t="str">
        <x:v>Tools/tests/test_model_baseline.py::test_all_materialized_golden_cases_match_reference_values</x:v>
      </x:c>
      <x:c r="R5" s="73" t="str">
        <x:v>Tools/tests/test_model_baseline.py::test_generated_input_robustness_matrix_exceeds_one_hundred_cases</x:v>
      </x:c>
      <x:c r="S5" s="73" t="str">
        <x:v>provisionally_independent</x:v>
      </x:c>
      <x:c r="T5" s="73"/>
      <x:c r="U5" s="73" t="str"/>
      <x:c r="V5" s="73" t="str">
        <x:v>not_used_for_tool_acceptance</x:v>
      </x:c>
      <x:c r="W5" s="73" t="str">
        <x:v>unreviewed</x:v>
      </x:c>
      <x:c r="X5" s="73"/>
      <x:c r="Y5" s="73" t="str">
        <x:f>IF(X5="接受",IF(O5="implemented_tested_unreviewed",IF(S5="provisionally_independent","候选可用","需先完成家族复审"),"缺少实现"),IF(X5="拒绝","排除","未审批"))</x:f>
        <x:v>未审批</x:v>
      </x:c>
      <x:c r="Z5" s="73"/>
      <x:c r="AA5" s="73"/>
      <x:c r="AB5" s="73"/>
      <x:c r="AC5" s="73" t="n">
        <x:v>5</x:v>
      </x:c>
      <x:c r="AD5" s="73" t="str">
        <x:v>公开基础数据+项目数据字典</x:v>
      </x:c>
      <x:c r="AE5" s="73" t="str">
        <x:v>解析解/手算样例/边界值单元测试</x:v>
      </x:c>
      <x:c r="AF5" s="73" t="str">
        <x:v>代码注册表中存在实现且已有回归与输入鲁棒性测试；仍需专业适用域审核。</x:v>
      </x:c>
    </x:row>
    <x:row r="6">
      <x:c r="A6" s="73" t="str">
        <x:v>A005</x:v>
      </x:c>
      <x:c r="B6" s="73" t="str">
        <x:v>通用数据与校验</x:v>
      </x:c>
      <x:c r="C6" s="73" t="str">
        <x:v>元素质量守恒校验</x:v>
      </x:c>
      <x:c r="D6" s="73" t="str">
        <x:v>确定性公式/规则</x:v>
      </x:c>
      <x:c r="E6" s="73" t="str">
        <x:v>check_element_mass_balance</x:v>
      </x:c>
      <x:c r="F6" s="73" t="str">
        <x:v>A005</x:v>
      </x:c>
      <x:c r="G6" s="73" t="str">
        <x:v>model_a005</x:v>
      </x:c>
      <x:c r="H6" s="73" t="str">
        <x:v>mapping_required_source_vs_runtime</x:v>
      </x:c>
      <x:c r="I6" s="73" t="str">
        <x:v>P0</x:v>
      </x:c>
      <x:c r="J6" s="73" t="str">
        <x:v>否</x:v>
      </x:c>
      <x:c r="K6" s="73" t="str">
        <x:v>输入—输出元素逐项守恒残差</x:v>
      </x:c>
      <x:c r="L6" s="73" t="str">
        <x:v>物流、组成、质量</x:v>
      </x:c>
      <x:c r="M6" s="73" t="str">
        <x:v>元素残差、闭合率、通过/失败</x:v>
      </x:c>
      <x:c r="N6" s="73" t="str">
        <x:v>仅在显式输入范围和单位体系内使用；超界必须返回警告</x:v>
      </x:c>
      <x:c r="O6" s="73" t="str">
        <x:v>implemented_tested_unreviewed</x:v>
      </x:c>
      <x:c r="P6" s="73" t="str">
        <x:v>Tools/models_core/models_a.py</x:v>
      </x:c>
      <x:c r="Q6" s="73" t="str">
        <x:v>Tools/tests/test_model_baseline.py::test_all_materialized_golden_cases_match_reference_values</x:v>
      </x:c>
      <x:c r="R6" s="73" t="str">
        <x:v>Tools/tests/test_model_baseline.py::test_generated_input_robustness_matrix_exceeds_one_hundred_cases</x:v>
      </x:c>
      <x:c r="S6" s="73" t="str">
        <x:v>provisionally_independent</x:v>
      </x:c>
      <x:c r="T6" s="73"/>
      <x:c r="U6" s="73" t="str"/>
      <x:c r="V6" s="73" t="str">
        <x:v>not_used_for_tool_acceptance</x:v>
      </x:c>
      <x:c r="W6" s="73" t="str">
        <x:v>unreviewed</x:v>
      </x:c>
      <x:c r="X6" s="73"/>
      <x:c r="Y6" s="73" t="str">
        <x:f>IF(X6="接受",IF(O6="implemented_tested_unreviewed",IF(S6="provisionally_independent","候选可用","需先完成家族复审"),"缺少实现"),IF(X6="拒绝","排除","未审批"))</x:f>
        <x:v>未审批</x:v>
      </x:c>
      <x:c r="Z6" s="73"/>
      <x:c r="AA6" s="73"/>
      <x:c r="AB6" s="73"/>
      <x:c r="AC6" s="73" t="n">
        <x:v>6</x:v>
      </x:c>
      <x:c r="AD6" s="73" t="str">
        <x:v>公开基础数据+项目数据字典</x:v>
      </x:c>
      <x:c r="AE6" s="73" t="str">
        <x:v>解析解/手算样例/边界值单元测试</x:v>
      </x:c>
      <x:c r="AF6" s="73" t="str">
        <x:v>代码注册表中存在实现且已有回归与输入鲁棒性测试；仍需专业适用域审核。</x:v>
      </x:c>
    </x:row>
    <x:row r="7">
      <x:c r="A7" s="73" t="str">
        <x:v>A006</x:v>
      </x:c>
      <x:c r="B7" s="73" t="str">
        <x:v>通用数据与校验</x:v>
      </x:c>
      <x:c r="C7" s="73" t="str">
        <x:v>氧当量/还原剂当量计算</x:v>
      </x:c>
      <x:c r="D7" s="73" t="str">
        <x:v>确定性公式/规则</x:v>
      </x:c>
      <x:c r="E7" s="73" t="str">
        <x:v>calc_oxygen_reductant_equivalent</x:v>
      </x:c>
      <x:c r="F7" s="73"/>
      <x:c r="G7" s="73"/>
      <x:c r="H7" s="73" t="str">
        <x:v>not_implemented</x:v>
      </x:c>
      <x:c r="I7" s="73" t="str">
        <x:v>P0</x:v>
      </x:c>
      <x:c r="J7" s="73" t="str">
        <x:v>否</x:v>
      </x:c>
      <x:c r="K7" s="73" t="str">
        <x:v>化学计量电子/氧当量</x:v>
      </x:c>
      <x:c r="L7" s="73" t="str">
        <x:v>反应物组成、氧化态</x:v>
      </x:c>
      <x:c r="M7" s="73" t="str">
        <x:v>理论氧量/还原剂当量</x:v>
      </x:c>
      <x:c r="N7" s="73" t="str">
        <x:v>仅在显式输入范围和单位体系内使用；超界必须返回警告</x:v>
      </x:c>
      <x:c r="O7" s="73" t="str">
        <x:v>planned_unimplemented</x:v>
      </x:c>
      <x:c r="P7" s="73"/>
      <x:c r="Q7" s="73"/>
      <x:c r="R7" s="73"/>
      <x:c r="S7" s="73" t="str">
        <x:v>provisionally_independent</x:v>
      </x:c>
      <x:c r="T7" s="73"/>
      <x:c r="U7" s="73" t="str"/>
      <x:c r="V7" s="73" t="str">
        <x:v>not_used_for_tool_acceptance</x:v>
      </x:c>
      <x:c r="W7" s="73" t="str">
        <x:v>unreviewed</x:v>
      </x:c>
      <x:c r="X7" s="73"/>
      <x:c r="Y7" s="73" t="str">
        <x:f>IF(X7="接受",IF(O7="implemented_tested_unreviewed",IF(S7="provisionally_independent","候选可用","需先完成家族复审"),"缺少实现"),IF(X7="拒绝","排除","未审批"))</x:f>
        <x:v>未审批</x:v>
      </x:c>
      <x:c r="Z7" s="73"/>
      <x:c r="AA7" s="73"/>
      <x:c r="AB7" s="73"/>
      <x:c r="AC7" s="73" t="n">
        <x:v>7</x:v>
      </x:c>
      <x:c r="AD7" s="73" t="str">
        <x:v>公开基础数据+项目数据字典</x:v>
      </x:c>
      <x:c r="AE7" s="73" t="str">
        <x:v>解析解/手算样例/边界值单元测试</x:v>
      </x:c>
      <x:c r="AF7" s="73" t="str">
        <x:v>仅存在于规划清单；不得计入当前可调用工具数。</x:v>
      </x:c>
    </x:row>
    <x:row r="8">
      <x:c r="A8" s="73" t="str">
        <x:v>A007</x:v>
      </x:c>
      <x:c r="B8" s="73" t="str">
        <x:v>通用数据与校验</x:v>
      </x:c>
      <x:c r="C8" s="73" t="str">
        <x:v>电荷与价态平衡校验</x:v>
      </x:c>
      <x:c r="D8" s="73" t="str">
        <x:v>确定性公式/规则</x:v>
      </x:c>
      <x:c r="E8" s="73" t="str">
        <x:v>check_charge_valence_balance</x:v>
      </x:c>
      <x:c r="F8" s="73"/>
      <x:c r="G8" s="73"/>
      <x:c r="H8" s="73" t="str">
        <x:v>not_implemented</x:v>
      </x:c>
      <x:c r="I8" s="73" t="str">
        <x:v>P0</x:v>
      </x:c>
      <x:c r="J8" s="73" t="str">
        <x:v>否</x:v>
      </x:c>
      <x:c r="K8" s="73" t="str">
        <x:v>氧化态与电中性约束</x:v>
      </x:c>
      <x:c r="L8" s="73" t="str">
        <x:v>化学式、候选价态</x:v>
      </x:c>
      <x:c r="M8" s="73" t="str">
        <x:v>电荷残差、可行价态组合</x:v>
      </x:c>
      <x:c r="N8" s="73" t="str">
        <x:v>仅在显式输入范围和单位体系内使用；超界必须返回警告</x:v>
      </x:c>
      <x:c r="O8" s="73" t="str">
        <x:v>planned_unimplemented</x:v>
      </x:c>
      <x:c r="P8" s="73"/>
      <x:c r="Q8" s="73"/>
      <x:c r="R8" s="73"/>
      <x:c r="S8" s="73" t="str">
        <x:v>provisionally_independent</x:v>
      </x:c>
      <x:c r="T8" s="73"/>
      <x:c r="U8" s="73" t="str"/>
      <x:c r="V8" s="73" t="str">
        <x:v>not_used_for_tool_acceptance</x:v>
      </x:c>
      <x:c r="W8" s="73" t="str">
        <x:v>unreviewed</x:v>
      </x:c>
      <x:c r="X8" s="73"/>
      <x:c r="Y8" s="73" t="str">
        <x:f>IF(X8="接受",IF(O8="implemented_tested_unreviewed",IF(S8="provisionally_independent","候选可用","需先完成家族复审"),"缺少实现"),IF(X8="拒绝","排除","未审批"))</x:f>
        <x:v>未审批</x:v>
      </x:c>
      <x:c r="Z8" s="73"/>
      <x:c r="AA8" s="73"/>
      <x:c r="AB8" s="73"/>
      <x:c r="AC8" s="73" t="n">
        <x:v>8</x:v>
      </x:c>
      <x:c r="AD8" s="73" t="str">
        <x:v>公开基础数据+项目数据字典</x:v>
      </x:c>
      <x:c r="AE8" s="73" t="str">
        <x:v>解析解/手算样例/边界值单元测试</x:v>
      </x:c>
      <x:c r="AF8" s="73" t="str">
        <x:v>仅存在于规划清单；不得计入当前可调用工具数。</x:v>
      </x:c>
    </x:row>
    <x:row r="9">
      <x:c r="A9" s="73" t="str">
        <x:v>A008</x:v>
      </x:c>
      <x:c r="B9" s="73" t="str">
        <x:v>通用数据与校验</x:v>
      </x:c>
      <x:c r="C9" s="73" t="str">
        <x:v>缺失值处理</x:v>
      </x:c>
      <x:c r="D9" s="73" t="str">
        <x:v>数据处理工具</x:v>
      </x:c>
      <x:c r="E9" s="73" t="str">
        <x:v>impute_missing_values</x:v>
      </x:c>
      <x:c r="F9" s="73"/>
      <x:c r="G9" s="73"/>
      <x:c r="H9" s="73" t="str">
        <x:v>not_implemented</x:v>
      </x:c>
      <x:c r="I9" s="73" t="str">
        <x:v>P0</x:v>
      </x:c>
      <x:c r="J9" s="73" t="str">
        <x:v>可选</x:v>
      </x:c>
      <x:c r="K9" s="73" t="str">
        <x:v>规则填补/插值/KNN/模型填补</x:v>
      </x:c>
      <x:c r="L9" s="73" t="str">
        <x:v>表格、字段类型、策略</x:v>
      </x:c>
      <x:c r="M9" s="73" t="str">
        <x:v>填补数据、缺失标记、质量报告</x:v>
      </x:c>
      <x:c r="N9" s="73" t="str">
        <x:v>仅在显式输入范围和单位体系内使用；超界必须返回警告</x:v>
      </x:c>
      <x:c r="O9" s="73" t="str">
        <x:v>planned_unimplemented</x:v>
      </x:c>
      <x:c r="P9" s="73"/>
      <x:c r="Q9" s="73"/>
      <x:c r="R9" s="73"/>
      <x:c r="S9" s="73" t="str">
        <x:v>provisionally_independent</x:v>
      </x:c>
      <x:c r="T9" s="73"/>
      <x:c r="U9" s="73" t="str"/>
      <x:c r="V9" s="73" t="str">
        <x:v>not_used_for_tool_acceptance</x:v>
      </x:c>
      <x:c r="W9" s="73" t="str">
        <x:v>unreviewed</x:v>
      </x:c>
      <x:c r="X9" s="73"/>
      <x:c r="Y9" s="73" t="str">
        <x:f>IF(X9="接受",IF(O9="implemented_tested_unreviewed",IF(S9="provisionally_independent","候选可用","需先完成家族复审"),"缺少实现"),IF(X9="拒绝","排除","未审批"))</x:f>
        <x:v>未审批</x:v>
      </x:c>
      <x:c r="Z9" s="73"/>
      <x:c r="AA9" s="73"/>
      <x:c r="AB9" s="73"/>
      <x:c r="AC9" s="73" t="n">
        <x:v>9</x:v>
      </x:c>
      <x:c r="AD9" s="73" t="str">
        <x:v>公开基础数据+项目数据字典</x:v>
      </x:c>
      <x:c r="AE9" s="73" t="str">
        <x:v>人工构造缺失+回填误差+防止标签泄漏</x:v>
      </x:c>
      <x:c r="AF9" s="73" t="str">
        <x:v>仅存在于规划清单；不得计入当前可调用工具数。</x:v>
      </x:c>
    </x:row>
    <x:row r="10">
      <x:c r="A10" s="73" t="str">
        <x:v>A009</x:v>
      </x:c>
      <x:c r="B10" s="73" t="str">
        <x:v>通用数据与校验</x:v>
      </x:c>
      <x:c r="C10" s="73" t="str">
        <x:v>异常值检测</x:v>
      </x:c>
      <x:c r="D10" s="73" t="str">
        <x:v>统计/机器学习</x:v>
      </x:c>
      <x:c r="E10" s="73" t="str">
        <x:v>detect_outliers</x:v>
      </x:c>
      <x:c r="F10" s="73"/>
      <x:c r="G10" s="73"/>
      <x:c r="H10" s="73" t="str">
        <x:v>not_implemented</x:v>
      </x:c>
      <x:c r="I10" s="73" t="str">
        <x:v>P1</x:v>
      </x:c>
      <x:c r="J10" s="73" t="str">
        <x:v>可选</x:v>
      </x:c>
      <x:c r="K10" s="73" t="str">
        <x:v>IQR、鲁棒Z分数、Isolation Forest</x:v>
      </x:c>
      <x:c r="L10" s="73" t="str">
        <x:v>时序/表格、分组键、阈值</x:v>
      </x:c>
      <x:c r="M10" s="73" t="str">
        <x:v>异常分数、异常标签、解释</x:v>
      </x:c>
      <x:c r="N10" s="73" t="str">
        <x:v>仅在显式输入范围和单位体系内使用；超界必须返回警告</x:v>
      </x:c>
      <x:c r="O10" s="73" t="str">
        <x:v>planned_unimplemented</x:v>
      </x:c>
      <x:c r="P10" s="73"/>
      <x:c r="Q10" s="73"/>
      <x:c r="R10" s="73"/>
      <x:c r="S10" s="73" t="str">
        <x:v>provisionally_independent</x:v>
      </x:c>
      <x:c r="T10" s="73"/>
      <x:c r="U10" s="73" t="str"/>
      <x:c r="V10" s="73" t="str">
        <x:v>not_used_for_tool_acceptance</x:v>
      </x:c>
      <x:c r="W10" s="73" t="str">
        <x:v>unreviewed</x:v>
      </x:c>
      <x:c r="X10" s="73"/>
      <x:c r="Y10" s="73" t="str">
        <x:f>IF(X10="接受",IF(O10="implemented_tested_unreviewed",IF(S10="provisionally_independent","候选可用","需先完成家族复审"),"缺少实现"),IF(X10="拒绝","排除","未审批"))</x:f>
        <x:v>未审批</x:v>
      </x:c>
      <x:c r="Z10" s="73"/>
      <x:c r="AA10" s="73"/>
      <x:c r="AB10" s="73"/>
      <x:c r="AC10" s="73" t="n">
        <x:v>10</x:v>
      </x:c>
      <x:c r="AD10" s="73" t="str">
        <x:v>公开基础数据+项目数据字典</x:v>
      </x:c>
      <x:c r="AE10" s="73" t="str">
        <x:v>已知异常注入+专家抽检+误报/漏报</x:v>
      </x:c>
      <x:c r="AF10" s="73" t="str">
        <x:v>仅存在于规划清单；不得计入当前可调用工具数。</x:v>
      </x:c>
    </x:row>
    <x:row r="11">
      <x:c r="A11" s="73" t="str">
        <x:v>A010</x:v>
      </x:c>
      <x:c r="B11" s="73" t="str">
        <x:v>通用数据与校验</x:v>
      </x:c>
      <x:c r="C11" s="73" t="str">
        <x:v>不确定度传播</x:v>
      </x:c>
      <x:c r="D11" s="73" t="str">
        <x:v>数值分析</x:v>
      </x:c>
      <x:c r="E11" s="73" t="str">
        <x:v>propagate_uncertainty</x:v>
      </x:c>
      <x:c r="F11" s="73"/>
      <x:c r="G11" s="73"/>
      <x:c r="H11" s="73" t="str">
        <x:v>not_implemented</x:v>
      </x:c>
      <x:c r="I11" s="73" t="str">
        <x:v>P1</x:v>
      </x:c>
      <x:c r="J11" s="73" t="str">
        <x:v>否</x:v>
      </x:c>
      <x:c r="K11" s="73" t="str">
        <x:v>一阶误差传播、Monte Carlo</x:v>
      </x:c>
      <x:c r="L11" s="73" t="str">
        <x:v>输入分布/协方差、计算函数</x:v>
      </x:c>
      <x:c r="M11" s="73" t="str">
        <x:v>输出分布、置信区间、敏感度</x:v>
      </x:c>
      <x:c r="N11" s="73" t="str">
        <x:v>仅在显式输入范围和单位体系内使用；超界必须返回警告</x:v>
      </x:c>
      <x:c r="O11" s="73" t="str">
        <x:v>planned_unimplemented</x:v>
      </x:c>
      <x:c r="P11" s="73"/>
      <x:c r="Q11" s="73"/>
      <x:c r="R11" s="73"/>
      <x:c r="S11" s="73" t="str">
        <x:v>provisionally_independent</x:v>
      </x:c>
      <x:c r="T11" s="73"/>
      <x:c r="U11" s="73" t="str"/>
      <x:c r="V11" s="73" t="str">
        <x:v>not_used_for_tool_acceptance</x:v>
      </x:c>
      <x:c r="W11" s="73" t="str">
        <x:v>unreviewed</x:v>
      </x:c>
      <x:c r="X11" s="73"/>
      <x:c r="Y11" s="73" t="str">
        <x:f>IF(X11="接受",IF(O11="implemented_tested_unreviewed",IF(S11="provisionally_independent","候选可用","需先完成家族复审"),"缺少实现"),IF(X11="拒绝","排除","未审批"))</x:f>
        <x:v>未审批</x:v>
      </x:c>
      <x:c r="Z11" s="73"/>
      <x:c r="AA11" s="73"/>
      <x:c r="AB11" s="73"/>
      <x:c r="AC11" s="73" t="n">
        <x:v>11</x:v>
      </x:c>
      <x:c r="AD11" s="73" t="str">
        <x:v>公开基础数据+项目数据字典</x:v>
      </x:c>
      <x:c r="AE11" s="73" t="str">
        <x:v>与Monte Carlo基准和解析传播公式比对</x:v>
      </x:c>
      <x:c r="AF11" s="73" t="str">
        <x:v>仅存在于规划清单；不得计入当前可调用工具数。</x:v>
      </x:c>
    </x:row>
    <x:row r="12">
      <x:c r="A12" s="73" t="str">
        <x:v>B001</x:v>
      </x:c>
      <x:c r="B12" s="73" t="str">
        <x:v>热力学与相平衡</x:v>
      </x:c>
      <x:c r="C12" s="73" t="str">
        <x:v>Shomate热容计算</x:v>
      </x:c>
      <x:c r="D12" s="73" t="str">
        <x:v>确定性公式/规则</x:v>
      </x:c>
      <x:c r="E12" s="73" t="str">
        <x:v>calc_shomate_properties</x:v>
      </x:c>
      <x:c r="F12" s="73" t="str">
        <x:v>B001</x:v>
      </x:c>
      <x:c r="G12" s="73" t="str">
        <x:v>model_b001</x:v>
      </x:c>
      <x:c r="H12" s="73" t="str">
        <x:v>mapping_required_source_vs_runtime</x:v>
      </x:c>
      <x:c r="I12" s="73" t="str">
        <x:v>P0</x:v>
      </x:c>
      <x:c r="J12" s="73" t="str">
        <x:v>否</x:v>
      </x:c>
      <x:c r="K12" s="73" t="str">
        <x:v>标准多项式热容/焓/熵表达式</x:v>
      </x:c>
      <x:c r="L12" s="73" t="str">
        <x:v>物种、相态、温度、参数集</x:v>
      </x:c>
      <x:c r="M12" s="73" t="str">
        <x:v>Cp、H、S及适用温区</x:v>
      </x:c>
      <x:c r="N12" s="73" t="str">
        <x:v>仅在显式输入范围和单位体系内使用；超界必须返回警告</x:v>
      </x:c>
      <x:c r="O12" s="73" t="str">
        <x:v>implemented_tested_unreviewed</x:v>
      </x:c>
      <x:c r="P12" s="73" t="str">
        <x:v>Tools/models_core/models_b.py</x:v>
      </x:c>
      <x:c r="Q12" s="73" t="str">
        <x:v>Tools/tests/test_model_baseline.py::test_all_materialized_golden_cases_match_reference_values</x:v>
      </x:c>
      <x:c r="R12" s="73" t="str">
        <x:v>Tools/tests/test_model_baseline.py::test_generated_input_robustness_matrix_exceeds_one_hundred_cases</x:v>
      </x:c>
      <x:c r="S12" s="73" t="str">
        <x:v>needs_family_review</x:v>
      </x:c>
      <x:c r="T12" s="73" t="str">
        <x:v>FG-01</x:v>
      </x:c>
      <x:c r="U12" s="73" t="str">
        <x:v>B001, B002</x:v>
      </x:c>
      <x:c r="V12" s="73" t="str">
        <x:v>not_used_for_tool_acceptance</x:v>
      </x:c>
      <x:c r="W12" s="73" t="str">
        <x:v>unreviewed</x:v>
      </x:c>
      <x:c r="X12" s="73"/>
      <x:c r="Y12" s="73" t="str">
        <x:f>IF(X12="接受",IF(O12="implemented_tested_unreviewed",IF(S12="provisionally_independent","候选可用","需先完成家族复审"),"缺少实现"),IF(X12="拒绝","排除","未审批"))</x:f>
        <x:v>未审批</x:v>
      </x:c>
      <x:c r="Z12" s="73"/>
      <x:c r="AA12" s="73"/>
      <x:c r="AB12" s="73"/>
      <x:c r="AC12" s="73" t="n">
        <x:v>12</x:v>
      </x:c>
      <x:c r="AD12" s="73" t="str">
        <x:v>公开基础数据+项目数据字典</x:v>
      </x:c>
      <x:c r="AE12" s="73" t="str">
        <x:v>解析解/手算样例/边界值单元测试</x:v>
      </x:c>
      <x:c r="AF12" s="73" t="str">
        <x:v>代码注册表中存在实现且已有回归与输入鲁棒性测试；仍需专业适用域审核。</x:v>
      </x:c>
    </x:row>
    <x:row r="13">
      <x:c r="A13" s="73" t="str">
        <x:v>B002</x:v>
      </x:c>
      <x:c r="B13" s="73" t="str">
        <x:v>热力学与相平衡</x:v>
      </x:c>
      <x:c r="C13" s="73" t="str">
        <x:v>NASA多项式热物性计算</x:v>
      </x:c>
      <x:c r="D13" s="73" t="str">
        <x:v>确定性公式/规则</x:v>
      </x:c>
      <x:c r="E13" s="73" t="str">
        <x:v>calc_nasa_properties</x:v>
      </x:c>
      <x:c r="F13" s="73" t="str">
        <x:v>B002</x:v>
      </x:c>
      <x:c r="G13" s="73" t="str">
        <x:v>model_b002</x:v>
      </x:c>
      <x:c r="H13" s="73" t="str">
        <x:v>mapping_required_source_vs_runtime</x:v>
      </x:c>
      <x:c r="I13" s="73" t="str">
        <x:v>P0</x:v>
      </x:c>
      <x:c r="J13" s="73" t="str">
        <x:v>否</x:v>
      </x:c>
      <x:c r="K13" s="73" t="str">
        <x:v>标准多项式热容/焓/熵表达式</x:v>
      </x:c>
      <x:c r="L13" s="73" t="str">
        <x:v>物种、相态、温度、参数集</x:v>
      </x:c>
      <x:c r="M13" s="73" t="str">
        <x:v>Cp、H、S及适用温区</x:v>
      </x:c>
      <x:c r="N13" s="73" t="str">
        <x:v>仅在显式输入范围和单位体系内使用；超界必须返回警告</x:v>
      </x:c>
      <x:c r="O13" s="73" t="str">
        <x:v>implemented_tested_unreviewed</x:v>
      </x:c>
      <x:c r="P13" s="73" t="str">
        <x:v>Tools/models_core/models_b.py</x:v>
      </x:c>
      <x:c r="Q13" s="73" t="str">
        <x:v>Tools/tests/test_model_baseline.py::test_all_materialized_golden_cases_match_reference_values</x:v>
      </x:c>
      <x:c r="R13" s="73" t="str">
        <x:v>Tools/tests/test_model_baseline.py::test_generated_input_robustness_matrix_exceeds_one_hundred_cases</x:v>
      </x:c>
      <x:c r="S13" s="73" t="str">
        <x:v>needs_family_review</x:v>
      </x:c>
      <x:c r="T13" s="73" t="str">
        <x:v>FG-01</x:v>
      </x:c>
      <x:c r="U13" s="73" t="str">
        <x:v>B001, B002</x:v>
      </x:c>
      <x:c r="V13" s="73" t="str">
        <x:v>not_used_for_tool_acceptance</x:v>
      </x:c>
      <x:c r="W13" s="73" t="str">
        <x:v>unreviewed</x:v>
      </x:c>
      <x:c r="X13" s="73"/>
      <x:c r="Y13" s="73" t="str">
        <x:f>IF(X13="接受",IF(O13="implemented_tested_unreviewed",IF(S13="provisionally_independent","候选可用","需先完成家族复审"),"缺少实现"),IF(X13="拒绝","排除","未审批"))</x:f>
        <x:v>未审批</x:v>
      </x:c>
      <x:c r="Z13" s="73"/>
      <x:c r="AA13" s="73"/>
      <x:c r="AB13" s="73"/>
      <x:c r="AC13" s="73" t="n">
        <x:v>13</x:v>
      </x:c>
      <x:c r="AD13" s="73" t="str">
        <x:v>公开基础数据+项目数据字典</x:v>
      </x:c>
      <x:c r="AE13" s="73" t="str">
        <x:v>解析解/手算样例/边界值单元测试</x:v>
      </x:c>
      <x:c r="AF13" s="73" t="str">
        <x:v>代码注册表中存在实现且已有回归与输入鲁棒性测试；仍需专业适用域审核。</x:v>
      </x:c>
    </x:row>
    <x:row r="14">
      <x:c r="A14" s="73" t="str">
        <x:v>B003</x:v>
      </x:c>
      <x:c r="B14" s="73" t="str">
        <x:v>热力学与相平衡</x:v>
      </x:c>
      <x:c r="C14" s="73" t="str">
        <x:v>显热与焓积分</x:v>
      </x:c>
      <x:c r="D14" s="73" t="str">
        <x:v>确定性公式/规则</x:v>
      </x:c>
      <x:c r="E14" s="73" t="str">
        <x:v>integrate_sensible_enthalpy</x:v>
      </x:c>
      <x:c r="F14" s="73" t="str">
        <x:v>B003</x:v>
      </x:c>
      <x:c r="G14" s="73" t="str">
        <x:v>model_b003</x:v>
      </x:c>
      <x:c r="H14" s="73" t="str">
        <x:v>mapping_required_source_vs_runtime</x:v>
      </x:c>
      <x:c r="I14" s="73" t="str">
        <x:v>P0</x:v>
      </x:c>
      <x:c r="J14" s="73" t="str">
        <x:v>否</x:v>
      </x:c>
      <x:c r="K14" s="73" t="str">
        <x:v>热容积分与参考态转换</x:v>
      </x:c>
      <x:c r="L14" s="73" t="str">
        <x:v>物种、相态、温度区间、参考态</x:v>
      </x:c>
      <x:c r="M14" s="73" t="str">
        <x:v>H/S/G与分段积分记录</x:v>
      </x:c>
      <x:c r="N14" s="73" t="str">
        <x:v>仅在显式输入范围和单位体系内使用；超界必须返回警告</x:v>
      </x:c>
      <x:c r="O14" s="73" t="str">
        <x:v>implemented_tested_unreviewed</x:v>
      </x:c>
      <x:c r="P14" s="73" t="str">
        <x:v>Tools/models_core/models_b.py</x:v>
      </x:c>
      <x:c r="Q14" s="73" t="str">
        <x:v>Tools/tests/test_model_baseline.py::test_all_materialized_golden_cases_match_reference_values</x:v>
      </x:c>
      <x:c r="R14" s="73" t="str">
        <x:v>Tools/tests/test_model_baseline.py::test_generated_input_robustness_matrix_exceeds_one_hundred_cases</x:v>
      </x:c>
      <x:c r="S14" s="73" t="str">
        <x:v>needs_family_review</x:v>
      </x:c>
      <x:c r="T14" s="73" t="str">
        <x:v>FG-02</x:v>
      </x:c>
      <x:c r="U14" s="73" t="str">
        <x:v>B003, B004, B005</x:v>
      </x:c>
      <x:c r="V14" s="73" t="str">
        <x:v>not_used_for_tool_acceptance</x:v>
      </x:c>
      <x:c r="W14" s="73" t="str">
        <x:v>unreviewed</x:v>
      </x:c>
      <x:c r="X14" s="73"/>
      <x:c r="Y14" s="73" t="str">
        <x:f>IF(X14="接受",IF(O14="implemented_tested_unreviewed",IF(S14="provisionally_independent","候选可用","需先完成家族复审"),"缺少实现"),IF(X14="拒绝","排除","未审批"))</x:f>
        <x:v>未审批</x:v>
      </x:c>
      <x:c r="Z14" s="73"/>
      <x:c r="AA14" s="73"/>
      <x:c r="AB14" s="73"/>
      <x:c r="AC14" s="73" t="n">
        <x:v>14</x:v>
      </x:c>
      <x:c r="AD14" s="73" t="str">
        <x:v>公开基础数据+项目数据字典</x:v>
      </x:c>
      <x:c r="AE14" s="73" t="str">
        <x:v>解析解/手算样例/边界值单元测试</x:v>
      </x:c>
      <x:c r="AF14" s="73" t="str">
        <x:v>代码注册表中存在实现且已有回归与输入鲁棒性测试；仍需专业适用域审核。</x:v>
      </x:c>
    </x:row>
    <x:row r="15">
      <x:c r="A15" s="73" t="str">
        <x:v>B004</x:v>
      </x:c>
      <x:c r="B15" s="73" t="str">
        <x:v>热力学与相平衡</x:v>
      </x:c>
      <x:c r="C15" s="73" t="str">
        <x:v>熵积分</x:v>
      </x:c>
      <x:c r="D15" s="73" t="str">
        <x:v>确定性公式/规则</x:v>
      </x:c>
      <x:c r="E15" s="73" t="str">
        <x:v>integrate_entropy</x:v>
      </x:c>
      <x:c r="F15" s="73" t="str">
        <x:v>B004</x:v>
      </x:c>
      <x:c r="G15" s="73" t="str">
        <x:v>model_b004</x:v>
      </x:c>
      <x:c r="H15" s="73" t="str">
        <x:v>mapping_required_source_vs_runtime</x:v>
      </x:c>
      <x:c r="I15" s="73" t="str">
        <x:v>P0</x:v>
      </x:c>
      <x:c r="J15" s="73" t="str">
        <x:v>否</x:v>
      </x:c>
      <x:c r="K15" s="73" t="str">
        <x:v>热容积分与参考态转换</x:v>
      </x:c>
      <x:c r="L15" s="73" t="str">
        <x:v>物种、相态、温度区间、参考态</x:v>
      </x:c>
      <x:c r="M15" s="73" t="str">
        <x:v>H/S/G与分段积分记录</x:v>
      </x:c>
      <x:c r="N15" s="73" t="str">
        <x:v>仅在显式输入范围和单位体系内使用；超界必须返回警告</x:v>
      </x:c>
      <x:c r="O15" s="73" t="str">
        <x:v>implemented_tested_unreviewed</x:v>
      </x:c>
      <x:c r="P15" s="73" t="str">
        <x:v>Tools/models_core/models_b.py</x:v>
      </x:c>
      <x:c r="Q15" s="73" t="str">
        <x:v>Tools/tests/test_model_baseline.py::test_all_materialized_golden_cases_match_reference_values</x:v>
      </x:c>
      <x:c r="R15" s="73" t="str">
        <x:v>Tools/tests/test_model_baseline.py::test_generated_input_robustness_matrix_exceeds_one_hundred_cases</x:v>
      </x:c>
      <x:c r="S15" s="73" t="str">
        <x:v>needs_family_review</x:v>
      </x:c>
      <x:c r="T15" s="73" t="str">
        <x:v>FG-02</x:v>
      </x:c>
      <x:c r="U15" s="73" t="str">
        <x:v>B003, B004, B005</x:v>
      </x:c>
      <x:c r="V15" s="73" t="str">
        <x:v>not_used_for_tool_acceptance</x:v>
      </x:c>
      <x:c r="W15" s="73" t="str">
        <x:v>unreviewed</x:v>
      </x:c>
      <x:c r="X15" s="73"/>
      <x:c r="Y15" s="73" t="str">
        <x:f>IF(X15="接受",IF(O15="implemented_tested_unreviewed",IF(S15="provisionally_independent","候选可用","需先完成家族复审"),"缺少实现"),IF(X15="拒绝","排除","未审批"))</x:f>
        <x:v>未审批</x:v>
      </x:c>
      <x:c r="Z15" s="73"/>
      <x:c r="AA15" s="73"/>
      <x:c r="AB15" s="73"/>
      <x:c r="AC15" s="73" t="n">
        <x:v>15</x:v>
      </x:c>
      <x:c r="AD15" s="73" t="str">
        <x:v>公开基础数据+项目数据字典</x:v>
      </x:c>
      <x:c r="AE15" s="73" t="str">
        <x:v>解析解/手算样例/边界值单元测试</x:v>
      </x:c>
      <x:c r="AF15" s="73" t="str">
        <x:v>代码注册表中存在实现且已有回归与输入鲁棒性测试；仍需专业适用域审核。</x:v>
      </x:c>
    </x:row>
    <x:row r="16">
      <x:c r="A16" s="73" t="str">
        <x:v>B005</x:v>
      </x:c>
      <x:c r="B16" s="73" t="str">
        <x:v>热力学与相平衡</x:v>
      </x:c>
      <x:c r="C16" s="73" t="str">
        <x:v>Gibbs自由能计算</x:v>
      </x:c>
      <x:c r="D16" s="73" t="str">
        <x:v>确定性公式/规则</x:v>
      </x:c>
      <x:c r="E16" s="73" t="str">
        <x:v>calc_gibbs_energy</x:v>
      </x:c>
      <x:c r="F16" s="73" t="str">
        <x:v>B005</x:v>
      </x:c>
      <x:c r="G16" s="73" t="str">
        <x:v>model_b005</x:v>
      </x:c>
      <x:c r="H16" s="73" t="str">
        <x:v>mapping_required_source_vs_runtime</x:v>
      </x:c>
      <x:c r="I16" s="73" t="str">
        <x:v>P0</x:v>
      </x:c>
      <x:c r="J16" s="73" t="str">
        <x:v>否</x:v>
      </x:c>
      <x:c r="K16" s="73" t="str">
        <x:v>热容积分与参考态转换</x:v>
      </x:c>
      <x:c r="L16" s="73" t="str">
        <x:v>物种、相态、温度区间、参考态</x:v>
      </x:c>
      <x:c r="M16" s="73" t="str">
        <x:v>H/S/G与分段积分记录</x:v>
      </x:c>
      <x:c r="N16" s="73" t="str">
        <x:v>仅在显式输入范围和单位体系内使用；超界必须返回警告</x:v>
      </x:c>
      <x:c r="O16" s="73" t="str">
        <x:v>implemented_tested_unreviewed</x:v>
      </x:c>
      <x:c r="P16" s="73" t="str">
        <x:v>Tools/models_core/models_b.py</x:v>
      </x:c>
      <x:c r="Q16" s="73" t="str">
        <x:v>Tools/tests/test_model_baseline.py::test_all_materialized_golden_cases_match_reference_values</x:v>
      </x:c>
      <x:c r="R16" s="73" t="str">
        <x:v>Tools/tests/test_model_baseline.py::test_generated_input_robustness_matrix_exceeds_one_hundred_cases</x:v>
      </x:c>
      <x:c r="S16" s="73" t="str">
        <x:v>needs_family_review</x:v>
      </x:c>
      <x:c r="T16" s="73" t="str">
        <x:v>FG-02</x:v>
      </x:c>
      <x:c r="U16" s="73" t="str">
        <x:v>B003, B004, B005</x:v>
      </x:c>
      <x:c r="V16" s="73" t="str">
        <x:v>not_used_for_tool_acceptance</x:v>
      </x:c>
      <x:c r="W16" s="73" t="str">
        <x:v>unreviewed</x:v>
      </x:c>
      <x:c r="X16" s="73"/>
      <x:c r="Y16" s="73" t="str">
        <x:f>IF(X16="接受",IF(O16="implemented_tested_unreviewed",IF(S16="provisionally_independent","候选可用","需先完成家族复审"),"缺少实现"),IF(X16="拒绝","排除","未审批"))</x:f>
        <x:v>未审批</x:v>
      </x:c>
      <x:c r="Z16" s="73"/>
      <x:c r="AA16" s="73"/>
      <x:c r="AB16" s="73"/>
      <x:c r="AC16" s="73" t="n">
        <x:v>16</x:v>
      </x:c>
      <x:c r="AD16" s="73" t="str">
        <x:v>公开基础数据+项目数据字典</x:v>
      </x:c>
      <x:c r="AE16" s="73" t="str">
        <x:v>解析解/手算样例/边界值单元测试</x:v>
      </x:c>
      <x:c r="AF16" s="73" t="str">
        <x:v>代码注册表中存在实现且已有回归与输入鲁棒性测试；仍需专业适用域审核。</x:v>
      </x:c>
    </x:row>
    <x:row r="17">
      <x:c r="A17" s="73" t="str">
        <x:v>B006</x:v>
      </x:c>
      <x:c r="B17" s="73" t="str">
        <x:v>热力学与相平衡</x:v>
      </x:c>
      <x:c r="C17" s="73" t="str">
        <x:v>反应焓计算</x:v>
      </x:c>
      <x:c r="D17" s="73" t="str">
        <x:v>确定性公式/规则</x:v>
      </x:c>
      <x:c r="E17" s="73" t="str">
        <x:v>calc_reaction_enthalpy</x:v>
      </x:c>
      <x:c r="F17" s="73" t="str">
        <x:v>B006</x:v>
      </x:c>
      <x:c r="G17" s="73" t="str">
        <x:v>model_b006</x:v>
      </x:c>
      <x:c r="H17" s="73" t="str">
        <x:v>mapping_required_source_vs_runtime</x:v>
      </x:c>
      <x:c r="I17" s="73" t="str">
        <x:v>P0</x:v>
      </x:c>
      <x:c r="J17" s="73" t="str">
        <x:v>否</x:v>
      </x:c>
      <x:c r="K17" s="73" t="str">
        <x:v>反应计量加权与ΔG°=-RTlnK</x:v>
      </x:c>
      <x:c r="L17" s="73" t="str">
        <x:v>配平反应、温度、物种热力学数据</x:v>
      </x:c>
      <x:c r="M17" s="73" t="str">
        <x:v>ΔH/ΔS/ΔG/K、数据血缘</x:v>
      </x:c>
      <x:c r="N17" s="73" t="str">
        <x:v>仅在显式输入范围和单位体系内使用；超界必须返回警告</x:v>
      </x:c>
      <x:c r="O17" s="73" t="str">
        <x:v>implemented_tested_unreviewed</x:v>
      </x:c>
      <x:c r="P17" s="73" t="str">
        <x:v>Tools/models_core/models_b.py</x:v>
      </x:c>
      <x:c r="Q17" s="73" t="str">
        <x:v>Tools/tests/test_model_baseline.py::test_all_materialized_golden_cases_match_reference_values</x:v>
      </x:c>
      <x:c r="R17" s="73" t="str">
        <x:v>Tools/tests/test_model_baseline.py::test_generated_input_robustness_matrix_exceeds_one_hundred_cases</x:v>
      </x:c>
      <x:c r="S17" s="73" t="str">
        <x:v>needs_family_review</x:v>
      </x:c>
      <x:c r="T17" s="73" t="str">
        <x:v>FG-03</x:v>
      </x:c>
      <x:c r="U17" s="73" t="str">
        <x:v>B006, B007, B008, B009</x:v>
      </x:c>
      <x:c r="V17" s="73" t="str">
        <x:v>not_used_for_tool_acceptance</x:v>
      </x:c>
      <x:c r="W17" s="73" t="str">
        <x:v>unreviewed</x:v>
      </x:c>
      <x:c r="X17" s="73"/>
      <x:c r="Y17" s="73" t="str">
        <x:f>IF(X17="接受",IF(O17="implemented_tested_unreviewed",IF(S17="provisionally_independent","候选可用","需先完成家族复审"),"缺少实现"),IF(X17="拒绝","排除","未审批"))</x:f>
        <x:v>未审批</x:v>
      </x:c>
      <x:c r="Z17" s="73"/>
      <x:c r="AA17" s="73"/>
      <x:c r="AB17" s="73"/>
      <x:c r="AC17" s="73" t="n">
        <x:v>17</x:v>
      </x:c>
      <x:c r="AD17" s="73" t="str">
        <x:v>公开基础数据+项目数据字典</x:v>
      </x:c>
      <x:c r="AE17" s="73" t="str">
        <x:v>解析解/手算样例/边界值单元测试</x:v>
      </x:c>
      <x:c r="AF17" s="73" t="str">
        <x:v>代码注册表中存在实现且已有回归与输入鲁棒性测试；仍需专业适用域审核。</x:v>
      </x:c>
    </x:row>
    <x:row r="18">
      <x:c r="A18" s="73" t="str">
        <x:v>B007</x:v>
      </x:c>
      <x:c r="B18" s="73" t="str">
        <x:v>热力学与相平衡</x:v>
      </x:c>
      <x:c r="C18" s="73" t="str">
        <x:v>反应熵计算</x:v>
      </x:c>
      <x:c r="D18" s="73" t="str">
        <x:v>确定性公式/规则</x:v>
      </x:c>
      <x:c r="E18" s="73" t="str">
        <x:v>calc_reaction_entropy</x:v>
      </x:c>
      <x:c r="F18" s="73" t="str">
        <x:v>B007</x:v>
      </x:c>
      <x:c r="G18" s="73" t="str">
        <x:v>model_b007</x:v>
      </x:c>
      <x:c r="H18" s="73" t="str">
        <x:v>mapping_required_source_vs_runtime</x:v>
      </x:c>
      <x:c r="I18" s="73" t="str">
        <x:v>P0</x:v>
      </x:c>
      <x:c r="J18" s="73" t="str">
        <x:v>否</x:v>
      </x:c>
      <x:c r="K18" s="73" t="str">
        <x:v>反应计量加权与ΔG°=-RTlnK</x:v>
      </x:c>
      <x:c r="L18" s="73" t="str">
        <x:v>配平反应、温度、物种热力学数据</x:v>
      </x:c>
      <x:c r="M18" s="73" t="str">
        <x:v>ΔH/ΔS/ΔG/K、数据血缘</x:v>
      </x:c>
      <x:c r="N18" s="73" t="str">
        <x:v>仅在显式输入范围和单位体系内使用；超界必须返回警告</x:v>
      </x:c>
      <x:c r="O18" s="73" t="str">
        <x:v>implemented_tested_unreviewed</x:v>
      </x:c>
      <x:c r="P18" s="73" t="str">
        <x:v>Tools/models_core/models_b.py</x:v>
      </x:c>
      <x:c r="Q18" s="73" t="str">
        <x:v>Tools/tests/test_model_baseline.py::test_all_materialized_golden_cases_match_reference_values</x:v>
      </x:c>
      <x:c r="R18" s="73" t="str">
        <x:v>Tools/tests/test_model_baseline.py::test_generated_input_robustness_matrix_exceeds_one_hundred_cases</x:v>
      </x:c>
      <x:c r="S18" s="73" t="str">
        <x:v>needs_family_review</x:v>
      </x:c>
      <x:c r="T18" s="73" t="str">
        <x:v>FG-03</x:v>
      </x:c>
      <x:c r="U18" s="73" t="str">
        <x:v>B006, B007, B008, B009</x:v>
      </x:c>
      <x:c r="V18" s="73" t="str">
        <x:v>not_used_for_tool_acceptance</x:v>
      </x:c>
      <x:c r="W18" s="73" t="str">
        <x:v>unreviewed</x:v>
      </x:c>
      <x:c r="X18" s="73"/>
      <x:c r="Y18" s="73" t="str">
        <x:f>IF(X18="接受",IF(O18="implemented_tested_unreviewed",IF(S18="provisionally_independent","候选可用","需先完成家族复审"),"缺少实现"),IF(X18="拒绝","排除","未审批"))</x:f>
        <x:v>未审批</x:v>
      </x:c>
      <x:c r="Z18" s="73"/>
      <x:c r="AA18" s="73"/>
      <x:c r="AB18" s="73"/>
      <x:c r="AC18" s="73" t="n">
        <x:v>18</x:v>
      </x:c>
      <x:c r="AD18" s="73" t="str">
        <x:v>公开基础数据+项目数据字典</x:v>
      </x:c>
      <x:c r="AE18" s="73" t="str">
        <x:v>解析解/手算样例/边界值单元测试</x:v>
      </x:c>
      <x:c r="AF18" s="73" t="str">
        <x:v>代码注册表中存在实现且已有回归与输入鲁棒性测试；仍需专业适用域审核。</x:v>
      </x:c>
    </x:row>
    <x:row r="19">
      <x:c r="A19" s="73" t="str">
        <x:v>B008</x:v>
      </x:c>
      <x:c r="B19" s="73" t="str">
        <x:v>热力学与相平衡</x:v>
      </x:c>
      <x:c r="C19" s="73" t="str">
        <x:v>反应Gibbs自由能计算</x:v>
      </x:c>
      <x:c r="D19" s="73" t="str">
        <x:v>确定性公式/规则</x:v>
      </x:c>
      <x:c r="E19" s="73" t="str">
        <x:v>calc_reaction_gibbs</x:v>
      </x:c>
      <x:c r="F19" s="73" t="str">
        <x:v>B008</x:v>
      </x:c>
      <x:c r="G19" s="73" t="str">
        <x:v>model_b008</x:v>
      </x:c>
      <x:c r="H19" s="73" t="str">
        <x:v>mapping_required_source_vs_runtime</x:v>
      </x:c>
      <x:c r="I19" s="73" t="str">
        <x:v>P0</x:v>
      </x:c>
      <x:c r="J19" s="73" t="str">
        <x:v>否</x:v>
      </x:c>
      <x:c r="K19" s="73" t="str">
        <x:v>反应计量加权与ΔG°=-RTlnK</x:v>
      </x:c>
      <x:c r="L19" s="73" t="str">
        <x:v>配平反应、温度、物种热力学数据</x:v>
      </x:c>
      <x:c r="M19" s="73" t="str">
        <x:v>ΔH/ΔS/ΔG/K、数据血缘</x:v>
      </x:c>
      <x:c r="N19" s="73" t="str">
        <x:v>仅在显式输入范围和单位体系内使用；超界必须返回警告</x:v>
      </x:c>
      <x:c r="O19" s="73" t="str">
        <x:v>implemented_tested_unreviewed</x:v>
      </x:c>
      <x:c r="P19" s="73" t="str">
        <x:v>Tools/models_core/models_b.py</x:v>
      </x:c>
      <x:c r="Q19" s="73" t="str">
        <x:v>Tools/tests/test_model_baseline.py::test_all_materialized_golden_cases_match_reference_values</x:v>
      </x:c>
      <x:c r="R19" s="73" t="str">
        <x:v>Tools/tests/test_model_baseline.py::test_generated_input_robustness_matrix_exceeds_one_hundred_cases</x:v>
      </x:c>
      <x:c r="S19" s="73" t="str">
        <x:v>needs_family_review</x:v>
      </x:c>
      <x:c r="T19" s="73" t="str">
        <x:v>FG-03</x:v>
      </x:c>
      <x:c r="U19" s="73" t="str">
        <x:v>B006, B007, B008, B009</x:v>
      </x:c>
      <x:c r="V19" s="73" t="str">
        <x:v>not_used_for_tool_acceptance</x:v>
      </x:c>
      <x:c r="W19" s="73" t="str">
        <x:v>unreviewed</x:v>
      </x:c>
      <x:c r="X19" s="73"/>
      <x:c r="Y19" s="73" t="str">
        <x:f>IF(X19="接受",IF(O19="implemented_tested_unreviewed",IF(S19="provisionally_independent","候选可用","需先完成家族复审"),"缺少实现"),IF(X19="拒绝","排除","未审批"))</x:f>
        <x:v>未审批</x:v>
      </x:c>
      <x:c r="Z19" s="73"/>
      <x:c r="AA19" s="73"/>
      <x:c r="AB19" s="73"/>
      <x:c r="AC19" s="73" t="n">
        <x:v>19</x:v>
      </x:c>
      <x:c r="AD19" s="73" t="str">
        <x:v>公开基础数据+项目数据字典</x:v>
      </x:c>
      <x:c r="AE19" s="73" t="str">
        <x:v>解析解/手算样例/边界值单元测试</x:v>
      </x:c>
      <x:c r="AF19" s="73" t="str">
        <x:v>代码注册表中存在实现且已有回归与输入鲁棒性测试；仍需专业适用域审核。</x:v>
      </x:c>
    </x:row>
    <x:row r="20">
      <x:c r="A20" s="73" t="str">
        <x:v>B009</x:v>
      </x:c>
      <x:c r="B20" s="73" t="str">
        <x:v>热力学与相平衡</x:v>
      </x:c>
      <x:c r="C20" s="73" t="str">
        <x:v>平衡常数计算</x:v>
      </x:c>
      <x:c r="D20" s="73" t="str">
        <x:v>确定性公式/规则</x:v>
      </x:c>
      <x:c r="E20" s="73" t="str">
        <x:v>calc_equilibrium_constant</x:v>
      </x:c>
      <x:c r="F20" s="73" t="str">
        <x:v>B009</x:v>
      </x:c>
      <x:c r="G20" s="73" t="str">
        <x:v>model_b009</x:v>
      </x:c>
      <x:c r="H20" s="73" t="str">
        <x:v>mapping_required_source_vs_runtime</x:v>
      </x:c>
      <x:c r="I20" s="73" t="str">
        <x:v>P1</x:v>
      </x:c>
      <x:c r="J20" s="73" t="str">
        <x:v>否</x:v>
      </x:c>
      <x:c r="K20" s="73" t="str">
        <x:v>反应计量加权与ΔG°=-RTlnK</x:v>
      </x:c>
      <x:c r="L20" s="73" t="str">
        <x:v>配平反应、温度、物种热力学数据</x:v>
      </x:c>
      <x:c r="M20" s="73" t="str">
        <x:v>ΔH/ΔS/ΔG/K、数据血缘</x:v>
      </x:c>
      <x:c r="N20" s="73" t="str">
        <x:v>仅在显式输入范围和单位体系内使用；超界必须返回警告</x:v>
      </x:c>
      <x:c r="O20" s="73" t="str">
        <x:v>implemented_tested_unreviewed</x:v>
      </x:c>
      <x:c r="P20" s="73" t="str">
        <x:v>Tools/models_core/models_b.py</x:v>
      </x:c>
      <x:c r="Q20" s="73" t="str">
        <x:v>Tools/tests/test_model_baseline.py::test_all_materialized_golden_cases_match_reference_values</x:v>
      </x:c>
      <x:c r="R20" s="73" t="str">
        <x:v>Tools/tests/test_model_baseline.py::test_generated_input_robustness_matrix_exceeds_one_hundred_cases</x:v>
      </x:c>
      <x:c r="S20" s="73" t="str">
        <x:v>needs_family_review</x:v>
      </x:c>
      <x:c r="T20" s="73" t="str">
        <x:v>FG-03</x:v>
      </x:c>
      <x:c r="U20" s="73" t="str">
        <x:v>B006, B007, B008, B009</x:v>
      </x:c>
      <x:c r="V20" s="73" t="str">
        <x:v>not_used_for_tool_acceptance</x:v>
      </x:c>
      <x:c r="W20" s="73" t="str">
        <x:v>unreviewed</x:v>
      </x:c>
      <x:c r="X20" s="73"/>
      <x:c r="Y20" s="73" t="str">
        <x:f>IF(X20="接受",IF(O20="implemented_tested_unreviewed",IF(S20="provisionally_independent","候选可用","需先完成家族复审"),"缺少实现"),IF(X20="拒绝","排除","未审批"))</x:f>
        <x:v>未审批</x:v>
      </x:c>
      <x:c r="Z20" s="73"/>
      <x:c r="AA20" s="73"/>
      <x:c r="AB20" s="73"/>
      <x:c r="AC20" s="73" t="n">
        <x:v>20</x:v>
      </x:c>
      <x:c r="AD20" s="73" t="str">
        <x:v>公开基础数据+项目数据字典</x:v>
      </x:c>
      <x:c r="AE20" s="73" t="str">
        <x:v>解析解/手算样例/边界值单元测试</x:v>
      </x:c>
      <x:c r="AF20" s="73" t="str">
        <x:v>代码注册表中存在实现且已有回归与输入鲁棒性测试；仍需专业适用域审核。</x:v>
      </x:c>
    </x:row>
    <x:row r="21">
      <x:c r="A21" s="73" t="str">
        <x:v>B010</x:v>
      </x:c>
      <x:c r="B21" s="73" t="str">
        <x:v>热力学与相平衡</x:v>
      </x:c>
      <x:c r="C21" s="73" t="str">
        <x:v>van't Hoff温度修正</x:v>
      </x:c>
      <x:c r="D21" s="73" t="str">
        <x:v>确定性公式/规则</x:v>
      </x:c>
      <x:c r="E21" s="73" t="str">
        <x:v>correct_vant_hoff</x:v>
      </x:c>
      <x:c r="F21" s="73"/>
      <x:c r="G21" s="73"/>
      <x:c r="H21" s="73" t="str">
        <x:v>not_implemented</x:v>
      </x:c>
      <x:c r="I21" s="73" t="str">
        <x:v>P1</x:v>
      </x:c>
      <x:c r="J21" s="73" t="str">
        <x:v>否</x:v>
      </x:c>
      <x:c r="K21" s="73" t="str">
        <x:v>van't Hoff方程积分</x:v>
      </x:c>
      <x:c r="L21" s="73" t="str">
        <x:v>参考温度K值、反应焓、目标温度</x:v>
      </x:c>
      <x:c r="M21" s="73" t="str">
        <x:v>目标温度平衡常数</x:v>
      </x:c>
      <x:c r="N21" s="73" t="str">
        <x:v>仅在显式输入范围和单位体系内使用；超界必须返回警告</x:v>
      </x:c>
      <x:c r="O21" s="73" t="str">
        <x:v>planned_unimplemented</x:v>
      </x:c>
      <x:c r="P21" s="73"/>
      <x:c r="Q21" s="73"/>
      <x:c r="R21" s="73"/>
      <x:c r="S21" s="73" t="str">
        <x:v>provisionally_independent</x:v>
      </x:c>
      <x:c r="T21" s="73"/>
      <x:c r="U21" s="73" t="str"/>
      <x:c r="V21" s="73" t="str">
        <x:v>not_used_for_tool_acceptance</x:v>
      </x:c>
      <x:c r="W21" s="73" t="str">
        <x:v>unreviewed</x:v>
      </x:c>
      <x:c r="X21" s="73"/>
      <x:c r="Y21" s="73" t="str">
        <x:f>IF(X21="接受",IF(O21="implemented_tested_unreviewed",IF(S21="provisionally_independent","候选可用","需先完成家族复审"),"缺少实现"),IF(X21="拒绝","排除","未审批"))</x:f>
        <x:v>未审批</x:v>
      </x:c>
      <x:c r="Z21" s="73"/>
      <x:c r="AA21" s="73"/>
      <x:c r="AB21" s="73"/>
      <x:c r="AC21" s="73" t="n">
        <x:v>21</x:v>
      </x:c>
      <x:c r="AD21" s="73" t="str">
        <x:v>公开基础数据+项目数据字典</x:v>
      </x:c>
      <x:c r="AE21" s="73" t="str">
        <x:v>解析解/手算样例/边界值单元测试</x:v>
      </x:c>
      <x:c r="AF21" s="73" t="str">
        <x:v>仅存在于规划清单；不得计入当前可调用工具数。</x:v>
      </x:c>
    </x:row>
    <x:row r="22">
      <x:c r="A22" s="73" t="str">
        <x:v>B011</x:v>
      </x:c>
      <x:c r="B22" s="73" t="str">
        <x:v>热力学与相平衡</x:v>
      </x:c>
      <x:c r="C22" s="73" t="str">
        <x:v>Ellingham线计算</x:v>
      </x:c>
      <x:c r="D22" s="73" t="str">
        <x:v>确定性公式/规则</x:v>
      </x:c>
      <x:c r="E22" s="73" t="str">
        <x:v>calc_ellingham_line</x:v>
      </x:c>
      <x:c r="F22" s="73"/>
      <x:c r="G22" s="73"/>
      <x:c r="H22" s="73" t="str">
        <x:v>not_implemented</x:v>
      </x:c>
      <x:c r="I22" s="73" t="str">
        <x:v>P1</x:v>
      </x:c>
      <x:c r="J22" s="73" t="str">
        <x:v>否</x:v>
      </x:c>
      <x:c r="K22" s="73" t="str">
        <x:v>氧化反应ΔG°-T线与氧势换算</x:v>
      </x:c>
      <x:c r="L22" s="73" t="str">
        <x:v>氧化反应、温区、热力学参数</x:v>
      </x:c>
      <x:c r="M22" s="73" t="str">
        <x:v>Ellingham曲线点、交点、氧分压</x:v>
      </x:c>
      <x:c r="N22" s="73" t="str">
        <x:v>仅在显式输入范围和单位体系内使用；超界必须返回警告</x:v>
      </x:c>
      <x:c r="O22" s="73" t="str">
        <x:v>planned_unimplemented</x:v>
      </x:c>
      <x:c r="P22" s="73"/>
      <x:c r="Q22" s="73"/>
      <x:c r="R22" s="73"/>
      <x:c r="S22" s="73" t="str">
        <x:v>provisionally_independent</x:v>
      </x:c>
      <x:c r="T22" s="73"/>
      <x:c r="U22" s="73" t="str"/>
      <x:c r="V22" s="73" t="str">
        <x:v>not_used_for_tool_acceptance</x:v>
      </x:c>
      <x:c r="W22" s="73" t="str">
        <x:v>unreviewed</x:v>
      </x:c>
      <x:c r="X22" s="73"/>
      <x:c r="Y22" s="73" t="str">
        <x:f>IF(X22="接受",IF(O22="implemented_tested_unreviewed",IF(S22="provisionally_independent","候选可用","需先完成家族复审"),"缺少实现"),IF(X22="拒绝","排除","未审批"))</x:f>
        <x:v>未审批</x:v>
      </x:c>
      <x:c r="Z22" s="73"/>
      <x:c r="AA22" s="73"/>
      <x:c r="AB22" s="73"/>
      <x:c r="AC22" s="73" t="n">
        <x:v>22</x:v>
      </x:c>
      <x:c r="AD22" s="73" t="str">
        <x:v>公开基础数据+项目数据字典</x:v>
      </x:c>
      <x:c r="AE22" s="73" t="str">
        <x:v>解析解/手算样例/边界值单元测试</x:v>
      </x:c>
      <x:c r="AF22" s="73" t="str">
        <x:v>仅存在于规划清单；不得计入当前可调用工具数。</x:v>
      </x:c>
    </x:row>
    <x:row r="23">
      <x:c r="A23" s="73" t="str">
        <x:v>B012</x:v>
      </x:c>
      <x:c r="B23" s="73" t="str">
        <x:v>热力学与相平衡</x:v>
      </x:c>
      <x:c r="C23" s="73" t="str">
        <x:v>绝热反应温度</x:v>
      </x:c>
      <x:c r="D23" s="73" t="str">
        <x:v>确定性公式/规则</x:v>
      </x:c>
      <x:c r="E23" s="73" t="str">
        <x:v>calc_adiabatic_temperature</x:v>
      </x:c>
      <x:c r="F23" s="73"/>
      <x:c r="G23" s="73"/>
      <x:c r="H23" s="73" t="str">
        <x:v>not_implemented</x:v>
      </x:c>
      <x:c r="I23" s="73" t="str">
        <x:v>P1</x:v>
      </x:c>
      <x:c r="J23" s="73" t="str">
        <x:v>否</x:v>
      </x:c>
      <x:c r="K23" s="73" t="str">
        <x:v>绝热能量守恒+非线性求根</x:v>
      </x:c>
      <x:c r="L23" s="73" t="str">
        <x:v>反应物、初温、转化率、相变</x:v>
      </x:c>
      <x:c r="M23" s="73" t="str">
        <x:v>绝热终温、能量闭合误差</x:v>
      </x:c>
      <x:c r="N23" s="73" t="str">
        <x:v>仅在显式输入范围和单位体系内使用；超界必须返回警告</x:v>
      </x:c>
      <x:c r="O23" s="73" t="str">
        <x:v>planned_unimplemented</x:v>
      </x:c>
      <x:c r="P23" s="73"/>
      <x:c r="Q23" s="73"/>
      <x:c r="R23" s="73"/>
      <x:c r="S23" s="73" t="str">
        <x:v>provisionally_independent</x:v>
      </x:c>
      <x:c r="T23" s="73"/>
      <x:c r="U23" s="73" t="str"/>
      <x:c r="V23" s="73" t="str">
        <x:v>not_used_for_tool_acceptance</x:v>
      </x:c>
      <x:c r="W23" s="73" t="str">
        <x:v>unreviewed</x:v>
      </x:c>
      <x:c r="X23" s="73"/>
      <x:c r="Y23" s="73" t="str">
        <x:f>IF(X23="接受",IF(O23="implemented_tested_unreviewed",IF(S23="provisionally_independent","候选可用","需先完成家族复审"),"缺少实现"),IF(X23="拒绝","排除","未审批"))</x:f>
        <x:v>未审批</x:v>
      </x:c>
      <x:c r="Z23" s="73"/>
      <x:c r="AA23" s="73"/>
      <x:c r="AB23" s="73"/>
      <x:c r="AC23" s="73" t="n">
        <x:v>23</x:v>
      </x:c>
      <x:c r="AD23" s="73" t="str">
        <x:v>公开基础数据+项目数据字典</x:v>
      </x:c>
      <x:c r="AE23" s="73" t="str">
        <x:v>解析解/手算样例/边界值单元测试</x:v>
      </x:c>
      <x:c r="AF23" s="73" t="str">
        <x:v>仅存在于规划清单；不得计入当前可调用工具数。</x:v>
      </x:c>
    </x:row>
    <x:row r="24">
      <x:c r="A24" s="73" t="str">
        <x:v>B013</x:v>
      </x:c>
      <x:c r="B24" s="73" t="str">
        <x:v>热力学与相平衡</x:v>
      </x:c>
      <x:c r="C24" s="73" t="str">
        <x:v>理想气体混合平衡</x:v>
      </x:c>
      <x:c r="D24" s="73" t="str">
        <x:v>确定性公式/规则</x:v>
      </x:c>
      <x:c r="E24" s="73" t="str">
        <x:v>solve_ideal_gas_equilibrium</x:v>
      </x:c>
      <x:c r="F24" s="73"/>
      <x:c r="G24" s="73"/>
      <x:c r="H24" s="73" t="str">
        <x:v>not_implemented</x:v>
      </x:c>
      <x:c r="I24" s="73" t="str">
        <x:v>P1</x:v>
      </x:c>
      <x:c r="J24" s="73" t="str">
        <x:v>否</x:v>
      </x:c>
      <x:c r="K24" s="73" t="str">
        <x:v>理想气体化学势+Gibbs最小化</x:v>
      </x:c>
      <x:c r="L24" s="73" t="str">
        <x:v>物种集、元素总量、T、P</x:v>
      </x:c>
      <x:c r="M24" s="73" t="str">
        <x:v>平衡组成、G、收敛状态</x:v>
      </x:c>
      <x:c r="N24" s="73" t="str">
        <x:v>仅在显式输入范围和单位体系内使用；超界必须返回警告</x:v>
      </x:c>
      <x:c r="O24" s="73" t="str">
        <x:v>planned_unimplemented</x:v>
      </x:c>
      <x:c r="P24" s="73"/>
      <x:c r="Q24" s="73"/>
      <x:c r="R24" s="73"/>
      <x:c r="S24" s="73" t="str">
        <x:v>provisionally_independent</x:v>
      </x:c>
      <x:c r="T24" s="73"/>
      <x:c r="U24" s="73" t="str"/>
      <x:c r="V24" s="73" t="str">
        <x:v>not_used_for_tool_acceptance</x:v>
      </x:c>
      <x:c r="W24" s="73" t="str">
        <x:v>unreviewed</x:v>
      </x:c>
      <x:c r="X24" s="73"/>
      <x:c r="Y24" s="73" t="str">
        <x:f>IF(X24="接受",IF(O24="implemented_tested_unreviewed",IF(S24="provisionally_independent","候选可用","需先完成家族复审"),"缺少实现"),IF(X24="拒绝","排除","未审批"))</x:f>
        <x:v>未审批</x:v>
      </x:c>
      <x:c r="Z24" s="73"/>
      <x:c r="AA24" s="73"/>
      <x:c r="AB24" s="73"/>
      <x:c r="AC24" s="73" t="n">
        <x:v>24</x:v>
      </x:c>
      <x:c r="AD24" s="73" t="str">
        <x:v>公开基础数据+项目数据字典</x:v>
      </x:c>
      <x:c r="AE24" s="73" t="str">
        <x:v>解析解/手算样例/边界值单元测试</x:v>
      </x:c>
      <x:c r="AF24" s="73" t="str">
        <x:v>仅存在于规划清单；不得计入当前可调用工具数。</x:v>
      </x:c>
    </x:row>
    <x:row r="25">
      <x:c r="A25" s="73" t="str">
        <x:v>B014</x:v>
      </x:c>
      <x:c r="B25" s="73" t="str">
        <x:v>热力学与相平衡</x:v>
      </x:c>
      <x:c r="C25" s="73" t="str">
        <x:v>理想溶液活度</x:v>
      </x:c>
      <x:c r="D25" s="73" t="str">
        <x:v>确定性公式/规则</x:v>
      </x:c>
      <x:c r="E25" s="73" t="str">
        <x:v>calc_ideal_solution_activity</x:v>
      </x:c>
      <x:c r="F25" s="73"/>
      <x:c r="G25" s="73"/>
      <x:c r="H25" s="73" t="str">
        <x:v>not_implemented</x:v>
      </x:c>
      <x:c r="I25" s="73" t="str">
        <x:v>P1</x:v>
      </x:c>
      <x:c r="J25" s="73" t="str">
        <x:v>否</x:v>
      </x:c>
      <x:c r="K25" s="73" t="str">
        <x:v>溶液热力学活度/超额Gibbs模型</x:v>
      </x:c>
      <x:c r="L25" s="73" t="str">
        <x:v>组元、组成、温度、交互参数/标准态</x:v>
      </x:c>
      <x:c r="M25" s="73" t="str">
        <x:v>活度、活度系数、化学势</x:v>
      </x:c>
      <x:c r="N25" s="73" t="str">
        <x:v>仅在显式输入范围和单位体系内使用；超界必须返回警告</x:v>
      </x:c>
      <x:c r="O25" s="73" t="str">
        <x:v>planned_unimplemented</x:v>
      </x:c>
      <x:c r="P25" s="73"/>
      <x:c r="Q25" s="73"/>
      <x:c r="R25" s="73"/>
      <x:c r="S25" s="73" t="str">
        <x:v>needs_family_review</x:v>
      </x:c>
      <x:c r="T25" s="73" t="str">
        <x:v>FG-04</x:v>
      </x:c>
      <x:c r="U25" s="73" t="str">
        <x:v>B014, B015, B016, B017</x:v>
      </x:c>
      <x:c r="V25" s="73" t="str">
        <x:v>not_used_for_tool_acceptance</x:v>
      </x:c>
      <x:c r="W25" s="73" t="str">
        <x:v>unreviewed</x:v>
      </x:c>
      <x:c r="X25" s="73"/>
      <x:c r="Y25" s="73" t="str">
        <x:f>IF(X25="接受",IF(O25="implemented_tested_unreviewed",IF(S25="provisionally_independent","候选可用","需先完成家族复审"),"缺少实现"),IF(X25="拒绝","排除","未审批"))</x:f>
        <x:v>未审批</x:v>
      </x:c>
      <x:c r="Z25" s="73"/>
      <x:c r="AA25" s="73"/>
      <x:c r="AB25" s="73"/>
      <x:c r="AC25" s="73" t="n">
        <x:v>25</x:v>
      </x:c>
      <x:c r="AD25" s="73" t="str">
        <x:v>公开基础数据+项目数据字典</x:v>
      </x:c>
      <x:c r="AE25" s="73" t="str">
        <x:v>解析解/手算样例/边界值单元测试</x:v>
      </x:c>
      <x:c r="AF25" s="73" t="str">
        <x:v>仅存在于规划清单；不得计入当前可调用工具数。</x:v>
      </x:c>
    </x:row>
    <x:row r="26">
      <x:c r="A26" s="73" t="str">
        <x:v>B015</x:v>
      </x:c>
      <x:c r="B26" s="73" t="str">
        <x:v>热力学与相平衡</x:v>
      </x:c>
      <x:c r="C26" s="73" t="str">
        <x:v>正则溶液活度系数</x:v>
      </x:c>
      <x:c r="D26" s="73" t="str">
        <x:v>确定性公式/规则</x:v>
      </x:c>
      <x:c r="E26" s="73" t="str">
        <x:v>calc_regular_solution_activity</x:v>
      </x:c>
      <x:c r="F26" s="73"/>
      <x:c r="G26" s="73"/>
      <x:c r="H26" s="73" t="str">
        <x:v>not_implemented</x:v>
      </x:c>
      <x:c r="I26" s="73" t="str">
        <x:v>P1</x:v>
      </x:c>
      <x:c r="J26" s="73" t="str">
        <x:v>否</x:v>
      </x:c>
      <x:c r="K26" s="73" t="str">
        <x:v>溶液热力学活度/超额Gibbs模型</x:v>
      </x:c>
      <x:c r="L26" s="73" t="str">
        <x:v>组元、组成、温度、交互参数/标准态</x:v>
      </x:c>
      <x:c r="M26" s="73" t="str">
        <x:v>活度、活度系数、化学势</x:v>
      </x:c>
      <x:c r="N26" s="73" t="str">
        <x:v>仅在显式输入范围和单位体系内使用；超界必须返回警告</x:v>
      </x:c>
      <x:c r="O26" s="73" t="str">
        <x:v>planned_unimplemented</x:v>
      </x:c>
      <x:c r="P26" s="73"/>
      <x:c r="Q26" s="73"/>
      <x:c r="R26" s="73"/>
      <x:c r="S26" s="73" t="str">
        <x:v>needs_family_review</x:v>
      </x:c>
      <x:c r="T26" s="73" t="str">
        <x:v>FG-04</x:v>
      </x:c>
      <x:c r="U26" s="73" t="str">
        <x:v>B014, B015, B016, B017</x:v>
      </x:c>
      <x:c r="V26" s="73" t="str">
        <x:v>not_used_for_tool_acceptance</x:v>
      </x:c>
      <x:c r="W26" s="73" t="str">
        <x:v>unreviewed</x:v>
      </x:c>
      <x:c r="X26" s="73"/>
      <x:c r="Y26" s="73" t="str">
        <x:f>IF(X26="接受",IF(O26="implemented_tested_unreviewed",IF(S26="provisionally_independent","候选可用","需先完成家族复审"),"缺少实现"),IF(X26="拒绝","排除","未审批"))</x:f>
        <x:v>未审批</x:v>
      </x:c>
      <x:c r="Z26" s="73"/>
      <x:c r="AA26" s="73"/>
      <x:c r="AB26" s="73"/>
      <x:c r="AC26" s="73" t="n">
        <x:v>26</x:v>
      </x:c>
      <x:c r="AD26" s="73" t="str">
        <x:v>公开基础数据+项目数据字典</x:v>
      </x:c>
      <x:c r="AE26" s="73" t="str">
        <x:v>解析解/手算样例/边界值单元测试</x:v>
      </x:c>
      <x:c r="AF26" s="73" t="str">
        <x:v>仅存在于规划清单；不得计入当前可调用工具数。</x:v>
      </x:c>
    </x:row>
    <x:row r="27">
      <x:c r="A27" s="73" t="str">
        <x:v>B016</x:v>
      </x:c>
      <x:c r="B27" s="73" t="str">
        <x:v>热力学与相平衡</x:v>
      </x:c>
      <x:c r="C27" s="73" t="str">
        <x:v>Redlich-Kister超额Gibbs</x:v>
      </x:c>
      <x:c r="D27" s="73" t="str">
        <x:v>确定性公式/规则</x:v>
      </x:c>
      <x:c r="E27" s="73" t="str">
        <x:v>calc_redlich_kister_gibbs</x:v>
      </x:c>
      <x:c r="F27" s="73"/>
      <x:c r="G27" s="73"/>
      <x:c r="H27" s="73" t="str">
        <x:v>not_implemented</x:v>
      </x:c>
      <x:c r="I27" s="73" t="str">
        <x:v>P1</x:v>
      </x:c>
      <x:c r="J27" s="73" t="str">
        <x:v>否</x:v>
      </x:c>
      <x:c r="K27" s="73" t="str">
        <x:v>溶液热力学活度/超额Gibbs模型</x:v>
      </x:c>
      <x:c r="L27" s="73" t="str">
        <x:v>组元、组成、温度、交互参数/标准态</x:v>
      </x:c>
      <x:c r="M27" s="73" t="str">
        <x:v>活度、活度系数、化学势</x:v>
      </x:c>
      <x:c r="N27" s="73" t="str">
        <x:v>仅在显式输入范围和单位体系内使用；超界必须返回警告</x:v>
      </x:c>
      <x:c r="O27" s="73" t="str">
        <x:v>planned_unimplemented</x:v>
      </x:c>
      <x:c r="P27" s="73"/>
      <x:c r="Q27" s="73"/>
      <x:c r="R27" s="73"/>
      <x:c r="S27" s="73" t="str">
        <x:v>needs_family_review</x:v>
      </x:c>
      <x:c r="T27" s="73" t="str">
        <x:v>FG-04</x:v>
      </x:c>
      <x:c r="U27" s="73" t="str">
        <x:v>B014, B015, B016, B017</x:v>
      </x:c>
      <x:c r="V27" s="73" t="str">
        <x:v>not_used_for_tool_acceptance</x:v>
      </x:c>
      <x:c r="W27" s="73" t="str">
        <x:v>unreviewed</x:v>
      </x:c>
      <x:c r="X27" s="73"/>
      <x:c r="Y27" s="73" t="str">
        <x:f>IF(X27="接受",IF(O27="implemented_tested_unreviewed",IF(S27="provisionally_independent","候选可用","需先完成家族复审"),"缺少实现"),IF(X27="拒绝","排除","未审批"))</x:f>
        <x:v>未审批</x:v>
      </x:c>
      <x:c r="Z27" s="73"/>
      <x:c r="AA27" s="73"/>
      <x:c r="AB27" s="73"/>
      <x:c r="AC27" s="73" t="n">
        <x:v>27</x:v>
      </x:c>
      <x:c r="AD27" s="73" t="str">
        <x:v>公开基础数据+项目数据字典</x:v>
      </x:c>
      <x:c r="AE27" s="73" t="str">
        <x:v>解析解/手算样例/边界值单元测试</x:v>
      </x:c>
      <x:c r="AF27" s="73" t="str">
        <x:v>仅存在于规划清单；不得计入当前可调用工具数。</x:v>
      </x:c>
    </x:row>
    <x:row r="28">
      <x:c r="A28" s="73" t="str">
        <x:v>B017</x:v>
      </x:c>
      <x:c r="B28" s="73" t="str">
        <x:v>热力学与相平衡</x:v>
      </x:c>
      <x:c r="C28" s="73" t="str">
        <x:v>Henry/Raoult标准态切换</x:v>
      </x:c>
      <x:c r="D28" s="73" t="str">
        <x:v>确定性公式/规则</x:v>
      </x:c>
      <x:c r="E28" s="73" t="str">
        <x:v>convert_henry_raoult_standard</x:v>
      </x:c>
      <x:c r="F28" s="73"/>
      <x:c r="G28" s="73"/>
      <x:c r="H28" s="73" t="str">
        <x:v>not_implemented</x:v>
      </x:c>
      <x:c r="I28" s="73" t="str">
        <x:v>P1</x:v>
      </x:c>
      <x:c r="J28" s="73" t="str">
        <x:v>否</x:v>
      </x:c>
      <x:c r="K28" s="73" t="str">
        <x:v>溶液热力学活度/超额Gibbs模型</x:v>
      </x:c>
      <x:c r="L28" s="73" t="str">
        <x:v>组元、组成、温度、交互参数/标准态</x:v>
      </x:c>
      <x:c r="M28" s="73" t="str">
        <x:v>活度、活度系数、化学势</x:v>
      </x:c>
      <x:c r="N28" s="73" t="str">
        <x:v>仅在显式输入范围和单位体系内使用；超界必须返回警告</x:v>
      </x:c>
      <x:c r="O28" s="73" t="str">
        <x:v>planned_unimplemented</x:v>
      </x:c>
      <x:c r="P28" s="73"/>
      <x:c r="Q28" s="73"/>
      <x:c r="R28" s="73"/>
      <x:c r="S28" s="73" t="str">
        <x:v>needs_family_review</x:v>
      </x:c>
      <x:c r="T28" s="73" t="str">
        <x:v>FG-04</x:v>
      </x:c>
      <x:c r="U28" s="73" t="str">
        <x:v>B014, B015, B016, B017</x:v>
      </x:c>
      <x:c r="V28" s="73" t="str">
        <x:v>not_used_for_tool_acceptance</x:v>
      </x:c>
      <x:c r="W28" s="73" t="str">
        <x:v>unreviewed</x:v>
      </x:c>
      <x:c r="X28" s="73"/>
      <x:c r="Y28" s="73" t="str">
        <x:f>IF(X28="接受",IF(O28="implemented_tested_unreviewed",IF(S28="provisionally_independent","候选可用","需先完成家族复审"),"缺少实现"),IF(X28="拒绝","排除","未审批"))</x:f>
        <x:v>未审批</x:v>
      </x:c>
      <x:c r="Z28" s="73"/>
      <x:c r="AA28" s="73"/>
      <x:c r="AB28" s="73"/>
      <x:c r="AC28" s="73" t="n">
        <x:v>28</x:v>
      </x:c>
      <x:c r="AD28" s="73" t="str">
        <x:v>公开基础数据+项目数据字典</x:v>
      </x:c>
      <x:c r="AE28" s="73" t="str">
        <x:v>解析解/手算样例/边界值单元测试</x:v>
      </x:c>
      <x:c r="AF28" s="73" t="str">
        <x:v>仅存在于规划清单；不得计入当前可调用工具数。</x:v>
      </x:c>
    </x:row>
    <x:row r="29">
      <x:c r="A29" s="73" t="str">
        <x:v>B018</x:v>
      </x:c>
      <x:c r="B29" s="73" t="str">
        <x:v>热力学与相平衡</x:v>
      </x:c>
      <x:c r="C29" s="73" t="str">
        <x:v>Gibbs相律校验</x:v>
      </x:c>
      <x:c r="D29" s="73" t="str">
        <x:v>确定性公式/规则</x:v>
      </x:c>
      <x:c r="E29" s="73" t="str">
        <x:v>check_gibbs_phase_rule</x:v>
      </x:c>
      <x:c r="F29" s="73"/>
      <x:c r="G29" s="73"/>
      <x:c r="H29" s="73" t="str">
        <x:v>not_implemented</x:v>
      </x:c>
      <x:c r="I29" s="73" t="str">
        <x:v>P1</x:v>
      </x:c>
      <x:c r="J29" s="73" t="str">
        <x:v>否</x:v>
      </x:c>
      <x:c r="K29" s="73" t="str">
        <x:v>F=C-P+2及受约束变体</x:v>
      </x:c>
      <x:c r="L29" s="73" t="str">
        <x:v>组元数、相数、约束条件</x:v>
      </x:c>
      <x:c r="M29" s="73" t="str">
        <x:v>自由度、规则冲突</x:v>
      </x:c>
      <x:c r="N29" s="73" t="str">
        <x:v>仅在显式输入范围和单位体系内使用；超界必须返回警告</x:v>
      </x:c>
      <x:c r="O29" s="73" t="str">
        <x:v>planned_unimplemented</x:v>
      </x:c>
      <x:c r="P29" s="73"/>
      <x:c r="Q29" s="73"/>
      <x:c r="R29" s="73"/>
      <x:c r="S29" s="73" t="str">
        <x:v>provisionally_independent</x:v>
      </x:c>
      <x:c r="T29" s="73"/>
      <x:c r="U29" s="73" t="str"/>
      <x:c r="V29" s="73" t="str">
        <x:v>not_used_for_tool_acceptance</x:v>
      </x:c>
      <x:c r="W29" s="73" t="str">
        <x:v>unreviewed</x:v>
      </x:c>
      <x:c r="X29" s="73"/>
      <x:c r="Y29" s="73" t="str">
        <x:f>IF(X29="接受",IF(O29="implemented_tested_unreviewed",IF(S29="provisionally_independent","候选可用","需先完成家族复审"),"缺少实现"),IF(X29="拒绝","排除","未审批"))</x:f>
        <x:v>未审批</x:v>
      </x:c>
      <x:c r="Z29" s="73"/>
      <x:c r="AA29" s="73"/>
      <x:c r="AB29" s="73"/>
      <x:c r="AC29" s="73" t="n">
        <x:v>29</x:v>
      </x:c>
      <x:c r="AD29" s="73" t="str">
        <x:v>公开基础数据+项目数据字典</x:v>
      </x:c>
      <x:c r="AE29" s="73" t="str">
        <x:v>解析解/手算样例/边界值单元测试</x:v>
      </x:c>
      <x:c r="AF29" s="73" t="str">
        <x:v>仅存在于规划清单；不得计入当前可调用工具数。</x:v>
      </x:c>
    </x:row>
    <x:row r="30">
      <x:c r="A30" s="73" t="str">
        <x:v>B019</x:v>
      </x:c>
      <x:c r="B30" s="73" t="str">
        <x:v>热力学与相平衡</x:v>
      </x:c>
      <x:c r="C30" s="73" t="str">
        <x:v>杠杆规则计算</x:v>
      </x:c>
      <x:c r="D30" s="73" t="str">
        <x:v>确定性公式/规则</x:v>
      </x:c>
      <x:c r="E30" s="73" t="str">
        <x:v>calc_lever_rule</x:v>
      </x:c>
      <x:c r="F30" s="73" t="str">
        <x:v>B019</x:v>
      </x:c>
      <x:c r="G30" s="73" t="str">
        <x:v>model_b019</x:v>
      </x:c>
      <x:c r="H30" s="73" t="str">
        <x:v>mapping_required_source_vs_runtime</x:v>
      </x:c>
      <x:c r="I30" s="73" t="str">
        <x:v>P2</x:v>
      </x:c>
      <x:c r="J30" s="73" t="str">
        <x:v>否</x:v>
      </x:c>
      <x:c r="K30" s="73" t="str">
        <x:v>二相区杠杆规则</x:v>
      </x:c>
      <x:c r="L30" s="73" t="str">
        <x:v>总体成分、两相边界成分</x:v>
      </x:c>
      <x:c r="M30" s="73" t="str">
        <x:v>相分数、守恒残差</x:v>
      </x:c>
      <x:c r="N30" s="73" t="str">
        <x:v>仅在显式输入范围和单位体系内使用；超界必须返回警告</x:v>
      </x:c>
      <x:c r="O30" s="73" t="str">
        <x:v>implemented_tested_unreviewed</x:v>
      </x:c>
      <x:c r="P30" s="73" t="str">
        <x:v>Tools/models_core/models_b.py</x:v>
      </x:c>
      <x:c r="Q30" s="73" t="str">
        <x:v>Tools/tests/test_model_baseline.py::test_all_materialized_golden_cases_match_reference_values</x:v>
      </x:c>
      <x:c r="R30" s="73" t="str">
        <x:v>Tools/tests/test_model_baseline.py::test_generated_input_robustness_matrix_exceeds_one_hundred_cases</x:v>
      </x:c>
      <x:c r="S30" s="73" t="str">
        <x:v>provisionally_independent</x:v>
      </x:c>
      <x:c r="T30" s="73"/>
      <x:c r="U30" s="73" t="str"/>
      <x:c r="V30" s="73" t="str">
        <x:v>not_used_for_tool_acceptance</x:v>
      </x:c>
      <x:c r="W30" s="73" t="str">
        <x:v>unreviewed</x:v>
      </x:c>
      <x:c r="X30" s="73"/>
      <x:c r="Y30" s="73" t="str">
        <x:f>IF(X30="接受",IF(O30="implemented_tested_unreviewed",IF(S30="provisionally_independent","候选可用","需先完成家族复审"),"缺少实现"),IF(X30="拒绝","排除","未审批"))</x:f>
        <x:v>未审批</x:v>
      </x:c>
      <x:c r="Z30" s="73"/>
      <x:c r="AA30" s="73"/>
      <x:c r="AB30" s="73"/>
      <x:c r="AC30" s="73" t="n">
        <x:v>30</x:v>
      </x:c>
      <x:c r="AD30" s="73" t="str">
        <x:v>公开基础数据+项目数据字典</x:v>
      </x:c>
      <x:c r="AE30" s="73" t="str">
        <x:v>解析解/手算样例/边界值单元测试</x:v>
      </x:c>
      <x:c r="AF30" s="73" t="str">
        <x:v>代码注册表中存在实现且已有回归与输入鲁棒性测试；仍需专业适用域审核。</x:v>
      </x:c>
    </x:row>
    <x:row r="31">
      <x:c r="A31" s="73" t="str">
        <x:v>B020</x:v>
      </x:c>
      <x:c r="B31" s="73" t="str">
        <x:v>热力学与相平衡</x:v>
      </x:c>
      <x:c r="C31" s="73" t="str">
        <x:v>二元相界插值</x:v>
      </x:c>
      <x:c r="D31" s="73" t="str">
        <x:v>插值工具</x:v>
      </x:c>
      <x:c r="E31" s="73" t="str">
        <x:v>interpolate_binary_phase_boundary</x:v>
      </x:c>
      <x:c r="F31" s="73"/>
      <x:c r="G31" s="73"/>
      <x:c r="H31" s="73" t="str">
        <x:v>not_implemented</x:v>
      </x:c>
      <x:c r="I31" s="73" t="str">
        <x:v>P2</x:v>
      </x:c>
      <x:c r="J31" s="73" t="str">
        <x:v>否</x:v>
      </x:c>
      <x:c r="K31" s="73" t="str">
        <x:v>单调分段插值/样条</x:v>
      </x:c>
      <x:c r="L31" s="73" t="str">
        <x:v>相界离散点、温度/组成</x:v>
      </x:c>
      <x:c r="M31" s="73" t="str">
        <x:v>相界值、插值不确定度</x:v>
      </x:c>
      <x:c r="N31" s="73" t="str">
        <x:v>仅在显式输入范围和单位体系内使用；超界必须返回警告</x:v>
      </x:c>
      <x:c r="O31" s="73" t="str">
        <x:v>planned_unimplemented</x:v>
      </x:c>
      <x:c r="P31" s="73"/>
      <x:c r="Q31" s="73"/>
      <x:c r="R31" s="73"/>
      <x:c r="S31" s="73" t="str">
        <x:v>provisionally_independent</x:v>
      </x:c>
      <x:c r="T31" s="73"/>
      <x:c r="U31" s="73" t="str"/>
      <x:c r="V31" s="73" t="str">
        <x:v>not_used_for_tool_acceptance</x:v>
      </x:c>
      <x:c r="W31" s="73" t="str">
        <x:v>unreviewed</x:v>
      </x:c>
      <x:c r="X31" s="73"/>
      <x:c r="Y31" s="73" t="str">
        <x:f>IF(X31="接受",IF(O31="implemented_tested_unreviewed",IF(S31="provisionally_independent","候选可用","需先完成家族复审"),"缺少实现"),IF(X31="拒绝","排除","未审批"))</x:f>
        <x:v>未审批</x:v>
      </x:c>
      <x:c r="Z31" s="73"/>
      <x:c r="AA31" s="73"/>
      <x:c r="AB31" s="73"/>
      <x:c r="AC31" s="73" t="n">
        <x:v>31</x:v>
      </x:c>
      <x:c r="AD31" s="73" t="str">
        <x:v>公开基础数据+项目数据字典</x:v>
      </x:c>
      <x:c r="AE31" s="73" t="str">
        <x:v>解析解/手算样例/边界值单元测试</x:v>
      </x:c>
      <x:c r="AF31" s="73" t="str">
        <x:v>仅存在于规划清单；不得计入当前可调用工具数。</x:v>
      </x:c>
    </x:row>
    <x:row r="32">
      <x:c r="A32" s="73" t="str">
        <x:v>B021</x:v>
      </x:c>
      <x:c r="B32" s="73" t="str">
        <x:v>热力学与相平衡</x:v>
      </x:c>
      <x:c r="C32" s="73" t="str">
        <x:v>液相线/固相线回归</x:v>
      </x:c>
      <x:c r="D32" s="73" t="str">
        <x:v>回归模型</x:v>
      </x:c>
      <x:c r="E32" s="73" t="str">
        <x:v>fit_liquidus_solidus</x:v>
      </x:c>
      <x:c r="F32" s="73"/>
      <x:c r="G32" s="73"/>
      <x:c r="H32" s="73" t="str">
        <x:v>not_implemented</x:v>
      </x:c>
      <x:c r="I32" s="73" t="str">
        <x:v>P2</x:v>
      </x:c>
      <x:c r="J32" s="73" t="str">
        <x:v>是</x:v>
      </x:c>
      <x:c r="K32" s="73" t="str">
        <x:v>物理约束回归/高斯过程</x:v>
      </x:c>
      <x:c r="L32" s="73" t="str">
        <x:v>钢种成分、实验/CALPHAD温度</x:v>
      </x:c>
      <x:c r="M32" s="73" t="str">
        <x:v>液相线/固相线温度、置信区间</x:v>
      </x:c>
      <x:c r="N32" s="73" t="str">
        <x:v>结果依赖热力学数据库版本、相名映射与计算条件；必须返回数据库和软件版本</x:v>
      </x:c>
      <x:c r="O32" s="73" t="str">
        <x:v>planned_unimplemented</x:v>
      </x:c>
      <x:c r="P32" s="73"/>
      <x:c r="Q32" s="73"/>
      <x:c r="R32" s="73"/>
      <x:c r="S32" s="73" t="str">
        <x:v>provisionally_independent</x:v>
      </x:c>
      <x:c r="T32" s="73"/>
      <x:c r="U32" s="73" t="str"/>
      <x:c r="V32" s="73" t="str">
        <x:v>not_used_for_tool_acceptance</x:v>
      </x:c>
      <x:c r="W32" s="73" t="str">
        <x:v>unreviewed</x:v>
      </x:c>
      <x:c r="X32" s="73"/>
      <x:c r="Y32" s="73" t="str">
        <x:f>IF(X32="接受",IF(O32="implemented_tested_unreviewed",IF(S32="provisionally_independent","候选可用","需先完成家族复审"),"缺少实现"),IF(X32="拒绝","排除","未审批"))</x:f>
        <x:v>未审批</x:v>
      </x:c>
      <x:c r="Z32" s="73"/>
      <x:c r="AA32" s="73"/>
      <x:c r="AB32" s="73"/>
      <x:c r="AC32" s="73" t="n">
        <x:v>32</x:v>
      </x:c>
      <x:c r="AD32" s="73" t="str">
        <x:v>DS031/DS043/DS044生成数据+DS042实验数据</x:v>
      </x:c>
      <x:c r="AE32" s="73" t="str">
        <x:v>按钢种留组测试+CALPHAD/实验对照</x:v>
      </x:c>
      <x:c r="AF32" s="73" t="str">
        <x:v>仅存在于规划清单；不得计入当前可调用工具数。</x:v>
      </x:c>
    </x:row>
    <x:row r="33">
      <x:c r="A33" s="73" t="str">
        <x:v>B022</x:v>
      </x:c>
      <x:c r="B33" s="73" t="str">
        <x:v>热力学与相平衡</x:v>
      </x:c>
      <x:c r="C33" s="73" t="str">
        <x:v>多元多相Gibbs最小化</x:v>
      </x:c>
      <x:c r="D33" s="73" t="str">
        <x:v>数值优化</x:v>
      </x:c>
      <x:c r="E33" s="73" t="str">
        <x:v>minimize_multiphase_gibbs</x:v>
      </x:c>
      <x:c r="F33" s="73"/>
      <x:c r="G33" s="73"/>
      <x:c r="H33" s="73" t="str">
        <x:v>not_implemented</x:v>
      </x:c>
      <x:c r="I33" s="73" t="str">
        <x:v>P2</x:v>
      </x:c>
      <x:c r="J33" s="73" t="str">
        <x:v>否</x:v>
      </x:c>
      <x:c r="K33" s="73" t="str">
        <x:v>元素守恒约束下全局/局部Gibbs最小化</x:v>
      </x:c>
      <x:c r="L33" s="73" t="str">
        <x:v>组元、候选相、T、P、G模型</x:v>
      </x:c>
      <x:c r="M33" s="73" t="str">
        <x:v>相组成、相分数、收敛诊断</x:v>
      </x:c>
      <x:c r="N33" s="73" t="str">
        <x:v>结果依赖热力学数据库版本、相名映射与计算条件；必须返回数据库和软件版本</x:v>
      </x:c>
      <x:c r="O33" s="73" t="str">
        <x:v>planned_unimplemented</x:v>
      </x:c>
      <x:c r="P33" s="73"/>
      <x:c r="Q33" s="73"/>
      <x:c r="R33" s="73"/>
      <x:c r="S33" s="73" t="str">
        <x:v>provisionally_independent</x:v>
      </x:c>
      <x:c r="T33" s="73"/>
      <x:c r="U33" s="73" t="str"/>
      <x:c r="V33" s="73" t="str">
        <x:v>not_used_for_tool_acceptance</x:v>
      </x:c>
      <x:c r="W33" s="73" t="str">
        <x:v>unreviewed</x:v>
      </x:c>
      <x:c r="X33" s="73"/>
      <x:c r="Y33" s="73" t="str">
        <x:f>IF(X33="接受",IF(O33="implemented_tested_unreviewed",IF(S33="provisionally_independent","候选可用","需先完成家族复审"),"缺少实现"),IF(X33="拒绝","排除","未审批"))</x:f>
        <x:v>未审批</x:v>
      </x:c>
      <x:c r="Z33" s="73"/>
      <x:c r="AA33" s="73"/>
      <x:c r="AB33" s="73"/>
      <x:c r="AC33" s="73" t="n">
        <x:v>33</x:v>
      </x:c>
      <x:c r="AD33" s="73" t="str">
        <x:v>公开基础数据+项目数据字典</x:v>
      </x:c>
      <x:c r="AE33" s="73" t="str">
        <x:v>已知二元/三元体系+元素守恒+全局性检查</x:v>
      </x:c>
      <x:c r="AF33" s="73" t="str">
        <x:v>仅存在于规划清单；不得计入当前可调用工具数。</x:v>
      </x:c>
    </x:row>
    <x:row r="34">
      <x:c r="A34" s="73" t="str">
        <x:v>B023</x:v>
      </x:c>
      <x:c r="B34" s="73" t="str">
        <x:v>热力学与相平衡</x:v>
      </x:c>
      <x:c r="C34" s="73" t="str">
        <x:v>CALPHAD平衡计算封装</x:v>
      </x:c>
      <x:c r="D34" s="73" t="str">
        <x:v>软件封装</x:v>
      </x:c>
      <x:c r="E34" s="73" t="str">
        <x:v>run_calphad_equilibrium</x:v>
      </x:c>
      <x:c r="F34" s="73"/>
      <x:c r="G34" s="73"/>
      <x:c r="H34" s="73" t="str">
        <x:v>not_implemented</x:v>
      </x:c>
      <x:c r="I34" s="73" t="str">
        <x:v>P2</x:v>
      </x:c>
      <x:c r="J34" s="73" t="str">
        <x:v>否</x:v>
      </x:c>
      <x:c r="K34" s="73" t="str">
        <x:v>pycalphad/OpenCalphad/Thermo-Calc/FactSage适配器</x:v>
      </x:c>
      <x:c r="L34" s="73" t="str">
        <x:v>数据库ID、组元、条件、输出请求</x:v>
      </x:c>
      <x:c r="M34" s="73" t="str">
        <x:v>相平衡结果、软件/数据库版本、日志</x:v>
      </x:c>
      <x:c r="N34" s="73" t="str">
        <x:v>结果依赖热力学数据库版本、相名映射与计算条件；必须返回数据库和软件版本</x:v>
      </x:c>
      <x:c r="O34" s="73" t="str">
        <x:v>planned_unimplemented</x:v>
      </x:c>
      <x:c r="P34" s="73"/>
      <x:c r="Q34" s="73"/>
      <x:c r="R34" s="73"/>
      <x:c r="S34" s="73" t="str">
        <x:v>provisionally_independent</x:v>
      </x:c>
      <x:c r="T34" s="73"/>
      <x:c r="U34" s="73" t="str"/>
      <x:c r="V34" s="73" t="str">
        <x:v>not_used_for_tool_acceptance</x:v>
      </x:c>
      <x:c r="W34" s="73" t="str">
        <x:v>unreviewed</x:v>
      </x:c>
      <x:c r="X34" s="73"/>
      <x:c r="Y34" s="73" t="str">
        <x:f>IF(X34="接受",IF(O34="implemented_tested_unreviewed",IF(S34="provisionally_independent","候选可用","需先完成家族复审"),"缺少实现"),IF(X34="拒绝","排除","未审批"))</x:f>
        <x:v>未审批</x:v>
      </x:c>
      <x:c r="Z34" s="73"/>
      <x:c r="AA34" s="73"/>
      <x:c r="AB34" s="73"/>
      <x:c r="AC34" s="73" t="n">
        <x:v>34</x:v>
      </x:c>
      <x:c r="AD34" s="73" t="str">
        <x:v>公开基础数据+项目数据字典</x:v>
      </x:c>
      <x:c r="AE34" s="73" t="str">
        <x:v>跨求解器已知体系比对+版本回归测试</x:v>
      </x:c>
      <x:c r="AF34" s="73" t="str">
        <x:v>仅存在于规划清单；不得计入当前可调用工具数。</x:v>
      </x:c>
    </x:row>
    <x:row r="35">
      <x:c r="A35" s="73" t="str">
        <x:v>B024</x:v>
      </x:c>
      <x:c r="B35" s="73" t="str">
        <x:v>热力学与相平衡</x:v>
      </x:c>
      <x:c r="C35" s="73" t="str">
        <x:v>Scheil-Gulliver凝固计算</x:v>
      </x:c>
      <x:c r="D35" s="73" t="str">
        <x:v>凝固模型</x:v>
      </x:c>
      <x:c r="E35" s="73" t="str">
        <x:v>run_scheil_solidification</x:v>
      </x:c>
      <x:c r="F35" s="73"/>
      <x:c r="G35" s="73"/>
      <x:c r="H35" s="73" t="str">
        <x:v>not_implemented</x:v>
      </x:c>
      <x:c r="I35" s="73" t="str">
        <x:v>P2</x:v>
      </x:c>
      <x:c r="J35" s="73" t="str">
        <x:v>否</x:v>
      </x:c>
      <x:c r="K35" s="73" t="str">
        <x:v>Scheil-Gulliver逐步凝固</x:v>
      </x:c>
      <x:c r="L35" s="73" t="str">
        <x:v>合金成分、温区、数据库、步长</x:v>
      </x:c>
      <x:c r="M35" s="73" t="str">
        <x:v>固相率、相序、偏析曲线</x:v>
      </x:c>
      <x:c r="N35" s="73" t="str">
        <x:v>结果依赖热力学数据库版本、相名映射与计算条件；必须返回数据库和软件版本</x:v>
      </x:c>
      <x:c r="O35" s="73" t="str">
        <x:v>planned_unimplemented</x:v>
      </x:c>
      <x:c r="P35" s="73"/>
      <x:c r="Q35" s="73"/>
      <x:c r="R35" s="73"/>
      <x:c r="S35" s="73" t="str">
        <x:v>provisionally_independent</x:v>
      </x:c>
      <x:c r="T35" s="73"/>
      <x:c r="U35" s="73" t="str"/>
      <x:c r="V35" s="73" t="str">
        <x:v>not_used_for_tool_acceptance</x:v>
      </x:c>
      <x:c r="W35" s="73" t="str">
        <x:v>unreviewed</x:v>
      </x:c>
      <x:c r="X35" s="73"/>
      <x:c r="Y35" s="73" t="str">
        <x:f>IF(X35="接受",IF(O35="implemented_tested_unreviewed",IF(S35="provisionally_independent","候选可用","需先完成家族复审"),"缺少实现"),IF(X35="拒绝","排除","未审批"))</x:f>
        <x:v>未审批</x:v>
      </x:c>
      <x:c r="Z35" s="73"/>
      <x:c r="AA35" s="73"/>
      <x:c r="AB35" s="73"/>
      <x:c r="AC35" s="73" t="n">
        <x:v>35</x:v>
      </x:c>
      <x:c r="AD35" s="73" t="str">
        <x:v>公开基础数据+项目数据字典</x:v>
      </x:c>
      <x:c r="AE35" s="73" t="str">
        <x:v>解析解/手算样例/边界值单元测试</x:v>
      </x:c>
      <x:c r="AF35" s="73" t="str">
        <x:v>仅存在于规划清单；不得计入当前可调用工具数。</x:v>
      </x:c>
    </x:row>
    <x:row r="36">
      <x:c r="A36" s="73" t="str">
        <x:v>B025</x:v>
      </x:c>
      <x:c r="B36" s="73" t="str">
        <x:v>热力学与相平衡</x:v>
      </x:c>
      <x:c r="C36" s="73" t="str">
        <x:v>相图一致性校验</x:v>
      </x:c>
      <x:c r="D36" s="73" t="str">
        <x:v>规则校验器</x:v>
      </x:c>
      <x:c r="E36" s="73" t="str">
        <x:v>validate_phase_diagram</x:v>
      </x:c>
      <x:c r="F36" s="73"/>
      <x:c r="G36" s="73"/>
      <x:c r="H36" s="73" t="str">
        <x:v>not_implemented</x:v>
      </x:c>
      <x:c r="I36" s="73" t="str">
        <x:v>P2</x:v>
      </x:c>
      <x:c r="J36" s="73" t="str">
        <x:v>否</x:v>
      </x:c>
      <x:c r="K36" s="73" t="str">
        <x:v>相律、相区邻接、杠杆规则、自由能最小</x:v>
      </x:c>
      <x:c r="L36" s="73" t="str">
        <x:v>相图拓扑/计算结果/测试点</x:v>
      </x:c>
      <x:c r="M36" s="73" t="str">
        <x:v>违规项、证据、严重级别</x:v>
      </x:c>
      <x:c r="N36" s="73" t="str">
        <x:v>结果依赖热力学数据库版本、相名映射与计算条件；必须返回数据库和软件版本</x:v>
      </x:c>
      <x:c r="O36" s="73" t="str">
        <x:v>planned_unimplemented</x:v>
      </x:c>
      <x:c r="P36" s="73"/>
      <x:c r="Q36" s="73"/>
      <x:c r="R36" s="73"/>
      <x:c r="S36" s="73" t="str">
        <x:v>provisionally_independent</x:v>
      </x:c>
      <x:c r="T36" s="73"/>
      <x:c r="U36" s="73" t="str"/>
      <x:c r="V36" s="73" t="str">
        <x:v>not_used_for_tool_acceptance</x:v>
      </x:c>
      <x:c r="W36" s="73" t="str">
        <x:v>unreviewed</x:v>
      </x:c>
      <x:c r="X36" s="73"/>
      <x:c r="Y36" s="73" t="str">
        <x:f>IF(X36="接受",IF(O36="implemented_tested_unreviewed",IF(S36="provisionally_independent","候选可用","需先完成家族复审"),"缺少实现"),IF(X36="拒绝","排除","未审批"))</x:f>
        <x:v>未审批</x:v>
      </x:c>
      <x:c r="Z36" s="73"/>
      <x:c r="AA36" s="73"/>
      <x:c r="AB36" s="73"/>
      <x:c r="AC36" s="73" t="n">
        <x:v>36</x:v>
      </x:c>
      <x:c r="AD36" s="73" t="str">
        <x:v>公开基础数据+项目数据字典</x:v>
      </x:c>
      <x:c r="AE36" s="73" t="str">
        <x:v>人工构造错误相图+专家标注测试集</x:v>
      </x:c>
      <x:c r="AF36" s="73" t="str">
        <x:v>仅存在于规划清单；不得计入当前可调用工具数。</x:v>
      </x:c>
    </x:row>
    <x:row r="37">
      <x:c r="A37" s="73" t="str">
        <x:v>C001</x:v>
      </x:c>
      <x:c r="B37" s="73" t="str">
        <x:v>动力学与传递</x:v>
      </x:c>
      <x:c r="C37" s="73" t="str">
        <x:v>Arrhenius速率常数</x:v>
      </x:c>
      <x:c r="D37" s="73" t="str">
        <x:v>确定性公式/规则</x:v>
      </x:c>
      <x:c r="E37" s="73" t="str">
        <x:v>calc_arrhenius_rate</x:v>
      </x:c>
      <x:c r="F37" s="73" t="str">
        <x:v>C001</x:v>
      </x:c>
      <x:c r="G37" s="73" t="str">
        <x:v>model_c001</x:v>
      </x:c>
      <x:c r="H37" s="73" t="str">
        <x:v>mapping_required_source_vs_runtime</x:v>
      </x:c>
      <x:c r="I37" s="73" t="str">
        <x:v>P0</x:v>
      </x:c>
      <x:c r="J37" s="73" t="str">
        <x:v>否</x:v>
      </x:c>
      <x:c r="K37" s="73" t="str">
        <x:v>k=Aexp(-Ea/RT)</x:v>
      </x:c>
      <x:c r="L37" s="73" t="str">
        <x:v>A、Ea、T及单位</x:v>
      </x:c>
      <x:c r="M37" s="73" t="str">
        <x:v>速率常数、灵敏度</x:v>
      </x:c>
      <x:c r="N37" s="73" t="str">
        <x:v>仅在显式输入范围和单位体系内使用；超界必须返回警告</x:v>
      </x:c>
      <x:c r="O37" s="73" t="str">
        <x:v>implemented_tested_unreviewed</x:v>
      </x:c>
      <x:c r="P37" s="73" t="str">
        <x:v>Tools/models_core/models_c.py</x:v>
      </x:c>
      <x:c r="Q37" s="73" t="str">
        <x:v>Tools/tests/test_model_baseline.py::test_all_materialized_golden_cases_match_reference_values</x:v>
      </x:c>
      <x:c r="R37" s="73" t="str">
        <x:v>Tools/tests/test_model_baseline.py::test_generated_input_robustness_matrix_exceeds_one_hundred_cases</x:v>
      </x:c>
      <x:c r="S37" s="73" t="str">
        <x:v>provisionally_independent</x:v>
      </x:c>
      <x:c r="T37" s="73"/>
      <x:c r="U37" s="73" t="str"/>
      <x:c r="V37" s="73" t="str">
        <x:v>not_used_for_tool_acceptance</x:v>
      </x:c>
      <x:c r="W37" s="73" t="str">
        <x:v>unreviewed</x:v>
      </x:c>
      <x:c r="X37" s="73"/>
      <x:c r="Y37" s="73" t="str">
        <x:f>IF(X37="接受",IF(O37="implemented_tested_unreviewed",IF(S37="provisionally_independent","候选可用","需先完成家族复审"),"缺少实现"),IF(X37="拒绝","排除","未审批"))</x:f>
        <x:v>未审批</x:v>
      </x:c>
      <x:c r="Z37" s="73"/>
      <x:c r="AA37" s="73"/>
      <x:c r="AB37" s="73"/>
      <x:c r="AC37" s="73" t="n">
        <x:v>37</x:v>
      </x:c>
      <x:c r="AD37" s="73" t="str">
        <x:v>公开基础数据+项目数据字典</x:v>
      </x:c>
      <x:c r="AE37" s="73" t="str">
        <x:v>解析解/手算样例/边界值单元测试</x:v>
      </x:c>
      <x:c r="AF37" s="73" t="str">
        <x:v>代码注册表中存在实现且已有回归与输入鲁棒性测试；仍需专业适用域审核。</x:v>
      </x:c>
    </x:row>
    <x:row r="38">
      <x:c r="A38" s="73" t="str">
        <x:v>C002</x:v>
      </x:c>
      <x:c r="B38" s="73" t="str">
        <x:v>动力学与传递</x:v>
      </x:c>
      <x:c r="C38" s="73" t="str">
        <x:v>扩散系数计算</x:v>
      </x:c>
      <x:c r="D38" s="73" t="str">
        <x:v>确定性公式/规则</x:v>
      </x:c>
      <x:c r="E38" s="73" t="str">
        <x:v>calc_diffusion_coefficient</x:v>
      </x:c>
      <x:c r="F38" s="73" t="str">
        <x:v>C002</x:v>
      </x:c>
      <x:c r="G38" s="73" t="str">
        <x:v>model_c002</x:v>
      </x:c>
      <x:c r="H38" s="73" t="str">
        <x:v>mapping_required_source_vs_runtime</x:v>
      </x:c>
      <x:c r="I38" s="73" t="str">
        <x:v>P0</x:v>
      </x:c>
      <x:c r="J38" s="73" t="str">
        <x:v>否</x:v>
      </x:c>
      <x:c r="K38" s="73" t="str">
        <x:v>Arrhenius扩散系数/经验关联</x:v>
      </x:c>
      <x:c r="L38" s="73" t="str">
        <x:v>D0、Q、T或组分</x:v>
      </x:c>
      <x:c r="M38" s="73" t="str">
        <x:v>扩散系数</x:v>
      </x:c>
      <x:c r="N38" s="73" t="str">
        <x:v>仅在显式输入范围和单位体系内使用；超界必须返回警告</x:v>
      </x:c>
      <x:c r="O38" s="73" t="str">
        <x:v>implemented_tested_unreviewed</x:v>
      </x:c>
      <x:c r="P38" s="73" t="str">
        <x:v>Tools/models_core/models_c.py</x:v>
      </x:c>
      <x:c r="Q38" s="73" t="str">
        <x:v>Tools/tests/test_model_baseline.py::test_all_materialized_golden_cases_match_reference_values</x:v>
      </x:c>
      <x:c r="R38" s="73" t="str">
        <x:v>Tools/tests/test_model_baseline.py::test_generated_input_robustness_matrix_exceeds_one_hundred_cases</x:v>
      </x:c>
      <x:c r="S38" s="73" t="str">
        <x:v>provisionally_independent</x:v>
      </x:c>
      <x:c r="T38" s="73"/>
      <x:c r="U38" s="73" t="str"/>
      <x:c r="V38" s="73" t="str">
        <x:v>not_used_for_tool_acceptance</x:v>
      </x:c>
      <x:c r="W38" s="73" t="str">
        <x:v>unreviewed</x:v>
      </x:c>
      <x:c r="X38" s="73"/>
      <x:c r="Y38" s="73" t="str">
        <x:f>IF(X38="接受",IF(O38="implemented_tested_unreviewed",IF(S38="provisionally_independent","候选可用","需先完成家族复审"),"缺少实现"),IF(X38="拒绝","排除","未审批"))</x:f>
        <x:v>未审批</x:v>
      </x:c>
      <x:c r="Z38" s="73"/>
      <x:c r="AA38" s="73"/>
      <x:c r="AB38" s="73"/>
      <x:c r="AC38" s="73" t="n">
        <x:v>38</x:v>
      </x:c>
      <x:c r="AD38" s="73" t="str">
        <x:v>公开基础数据+项目数据字典</x:v>
      </x:c>
      <x:c r="AE38" s="73" t="str">
        <x:v>解析解/手算样例/边界值单元测试</x:v>
      </x:c>
      <x:c r="AF38" s="73" t="str">
        <x:v>代码注册表中存在实现且已有回归与输入鲁棒性测试；仍需专业适用域审核。</x:v>
      </x:c>
    </x:row>
    <x:row r="39">
      <x:c r="A39" s="73" t="str">
        <x:v>C003</x:v>
      </x:c>
      <x:c r="B39" s="73" t="str">
        <x:v>动力学与传递</x:v>
      </x:c>
      <x:c r="C39" s="73" t="str">
        <x:v>Fick一维扩散</x:v>
      </x:c>
      <x:c r="D39" s="73" t="str">
        <x:v>PDE求解</x:v>
      </x:c>
      <x:c r="E39" s="73" t="str">
        <x:v>solve_fick_1d</x:v>
      </x:c>
      <x:c r="F39" s="73"/>
      <x:c r="G39" s="73"/>
      <x:c r="H39" s="73" t="str">
        <x:v>not_implemented</x:v>
      </x:c>
      <x:c r="I39" s="73" t="str">
        <x:v>P1</x:v>
      </x:c>
      <x:c r="J39" s="73" t="str">
        <x:v>否</x:v>
      </x:c>
      <x:c r="K39" s="73" t="str">
        <x:v>Fick第二定律有限差分/有限体积</x:v>
      </x:c>
      <x:c r="L39" s="73" t="str">
        <x:v>空间网格、初边值、D(t,x)</x:v>
      </x:c>
      <x:c r="M39" s="73" t="str">
        <x:v>浓度场、通量、守恒误差</x:v>
      </x:c>
      <x:c r="N39" s="73" t="str">
        <x:v>仅在显式输入范围和单位体系内使用；超界必须返回警告</x:v>
      </x:c>
      <x:c r="O39" s="73" t="str">
        <x:v>planned_unimplemented</x:v>
      </x:c>
      <x:c r="P39" s="73"/>
      <x:c r="Q39" s="73"/>
      <x:c r="R39" s="73"/>
      <x:c r="S39" s="73" t="str">
        <x:v>provisionally_independent</x:v>
      </x:c>
      <x:c r="T39" s="73"/>
      <x:c r="U39" s="73" t="str"/>
      <x:c r="V39" s="73" t="str">
        <x:v>not_used_for_tool_acceptance</x:v>
      </x:c>
      <x:c r="W39" s="73" t="str">
        <x:v>unreviewed</x:v>
      </x:c>
      <x:c r="X39" s="73"/>
      <x:c r="Y39" s="73" t="str">
        <x:f>IF(X39="接受",IF(O39="implemented_tested_unreviewed",IF(S39="provisionally_independent","候选可用","需先完成家族复审"),"缺少实现"),IF(X39="拒绝","排除","未审批"))</x:f>
        <x:v>未审批</x:v>
      </x:c>
      <x:c r="Z39" s="73"/>
      <x:c r="AA39" s="73"/>
      <x:c r="AB39" s="73"/>
      <x:c r="AC39" s="73" t="n">
        <x:v>39</x:v>
      </x:c>
      <x:c r="AD39" s="73" t="str">
        <x:v>公开基础数据+项目数据字典</x:v>
      </x:c>
      <x:c r="AE39" s="73" t="str">
        <x:v>解析解/手算样例/边界值单元测试</x:v>
      </x:c>
      <x:c r="AF39" s="73" t="str">
        <x:v>仅存在于规划清单；不得计入当前可调用工具数。</x:v>
      </x:c>
    </x:row>
    <x:row r="40">
      <x:c r="A40" s="73" t="str">
        <x:v>C004</x:v>
      </x:c>
      <x:c r="B40" s="73" t="str">
        <x:v>动力学与传递</x:v>
      </x:c>
      <x:c r="C40" s="73" t="str">
        <x:v>JMAK相变动力学</x:v>
      </x:c>
      <x:c r="D40" s="73" t="str">
        <x:v>确定性公式/规则</x:v>
      </x:c>
      <x:c r="E40" s="73" t="str">
        <x:v>calc_jmak_transformation</x:v>
      </x:c>
      <x:c r="F40" s="73"/>
      <x:c r="G40" s="73"/>
      <x:c r="H40" s="73" t="str">
        <x:v>not_implemented</x:v>
      </x:c>
      <x:c r="I40" s="73" t="str">
        <x:v>P1</x:v>
      </x:c>
      <x:c r="J40" s="73" t="str">
        <x:v>否</x:v>
      </x:c>
      <x:c r="K40" s="73" t="str">
        <x:v>X=1-exp[-(kt)^n]</x:v>
      </x:c>
      <x:c r="L40" s="73" t="str">
        <x:v>温度历程、k/n参数</x:v>
      </x:c>
      <x:c r="M40" s="73" t="str">
        <x:v>转变量—时间曲线</x:v>
      </x:c>
      <x:c r="N40" s="73" t="str">
        <x:v>动力学参数高度依赖材料状态与设备条件；公开参数只能作初始值，需本地标定</x:v>
      </x:c>
      <x:c r="O40" s="73" t="str">
        <x:v>planned_unimplemented</x:v>
      </x:c>
      <x:c r="P40" s="73"/>
      <x:c r="Q40" s="73"/>
      <x:c r="R40" s="73"/>
      <x:c r="S40" s="73" t="str">
        <x:v>provisionally_independent</x:v>
      </x:c>
      <x:c r="T40" s="73"/>
      <x:c r="U40" s="73" t="str"/>
      <x:c r="V40" s="73" t="str">
        <x:v>not_used_for_tool_acceptance</x:v>
      </x:c>
      <x:c r="W40" s="73" t="str">
        <x:v>unreviewed</x:v>
      </x:c>
      <x:c r="X40" s="73"/>
      <x:c r="Y40" s="73" t="str">
        <x:f>IF(X40="接受",IF(O40="implemented_tested_unreviewed",IF(S40="provisionally_independent","候选可用","需先完成家族复审"),"缺少实现"),IF(X40="拒绝","排除","未审批"))</x:f>
        <x:v>未审批</x:v>
      </x:c>
      <x:c r="Z40" s="73"/>
      <x:c r="AA40" s="73"/>
      <x:c r="AB40" s="73"/>
      <x:c r="AC40" s="73" t="n">
        <x:v>40</x:v>
      </x:c>
      <x:c r="AD40" s="73" t="str">
        <x:v>公开基础数据+项目数据字典</x:v>
      </x:c>
      <x:c r="AE40" s="73" t="str">
        <x:v>解析解/手算样例/边界值单元测试</x:v>
      </x:c>
      <x:c r="AF40" s="73" t="str">
        <x:v>仅存在于规划清单；不得计入当前可调用工具数。</x:v>
      </x:c>
    </x:row>
    <x:row r="41">
      <x:c r="A41" s="73" t="str">
        <x:v>C005</x:v>
      </x:c>
      <x:c r="B41" s="73" t="str">
        <x:v>动力学与传递</x:v>
      </x:c>
      <x:c r="C41" s="73" t="str">
        <x:v>晶粒长大动力学</x:v>
      </x:c>
      <x:c r="D41" s="73" t="str">
        <x:v>确定性公式/规则</x:v>
      </x:c>
      <x:c r="E41" s="73" t="str">
        <x:v>calc_grain_growth</x:v>
      </x:c>
      <x:c r="F41" s="73"/>
      <x:c r="G41" s="73"/>
      <x:c r="H41" s="73" t="str">
        <x:v>not_implemented</x:v>
      </x:c>
      <x:c r="I41" s="73" t="str">
        <x:v>P1</x:v>
      </x:c>
      <x:c r="J41" s="73" t="str">
        <x:v>否</x:v>
      </x:c>
      <x:c r="K41" s="73" t="str">
        <x:v>D^n-D0^n=Kt</x:v>
      </x:c>
      <x:c r="L41" s="73" t="str">
        <x:v>初始晶粒、温度历程、参数</x:v>
      </x:c>
      <x:c r="M41" s="73" t="str">
        <x:v>晶粒尺寸</x:v>
      </x:c>
      <x:c r="N41" s="73" t="str">
        <x:v>动力学参数高度依赖材料状态与设备条件；公开参数只能作初始值，需本地标定</x:v>
      </x:c>
      <x:c r="O41" s="73" t="str">
        <x:v>planned_unimplemented</x:v>
      </x:c>
      <x:c r="P41" s="73"/>
      <x:c r="Q41" s="73"/>
      <x:c r="R41" s="73"/>
      <x:c r="S41" s="73" t="str">
        <x:v>provisionally_independent</x:v>
      </x:c>
      <x:c r="T41" s="73"/>
      <x:c r="U41" s="73" t="str"/>
      <x:c r="V41" s="73" t="str">
        <x:v>not_used_for_tool_acceptance</x:v>
      </x:c>
      <x:c r="W41" s="73" t="str">
        <x:v>unreviewed</x:v>
      </x:c>
      <x:c r="X41" s="73"/>
      <x:c r="Y41" s="73" t="str">
        <x:f>IF(X41="接受",IF(O41="implemented_tested_unreviewed",IF(S41="provisionally_independent","候选可用","需先完成家族复审"),"缺少实现"),IF(X41="拒绝","排除","未审批"))</x:f>
        <x:v>未审批</x:v>
      </x:c>
      <x:c r="Z41" s="73"/>
      <x:c r="AA41" s="73"/>
      <x:c r="AB41" s="73"/>
      <x:c r="AC41" s="73" t="n">
        <x:v>41</x:v>
      </x:c>
      <x:c r="AD41" s="73" t="str">
        <x:v>公开基础数据+项目数据字典</x:v>
      </x:c>
      <x:c r="AE41" s="73" t="str">
        <x:v>解析解/手算样例/边界值单元测试</x:v>
      </x:c>
      <x:c r="AF41" s="73" t="str">
        <x:v>仅存在于规划清单；不得计入当前可调用工具数。</x:v>
      </x:c>
    </x:row>
    <x:row r="42">
      <x:c r="A42" s="73" t="str">
        <x:v>C006</x:v>
      </x:c>
      <x:c r="B42" s="73" t="str">
        <x:v>动力学与传递</x:v>
      </x:c>
      <x:c r="C42" s="73" t="str">
        <x:v>缩核反应模型</x:v>
      </x:c>
      <x:c r="D42" s="73" t="str">
        <x:v>确定性公式/规则</x:v>
      </x:c>
      <x:c r="E42" s="73" t="str">
        <x:v>solve_shrinking_core</x:v>
      </x:c>
      <x:c r="F42" s="73"/>
      <x:c r="G42" s="73"/>
      <x:c r="H42" s="73" t="str">
        <x:v>not_implemented</x:v>
      </x:c>
      <x:c r="I42" s="73" t="str">
        <x:v>P1</x:v>
      </x:c>
      <x:c r="J42" s="73" t="str">
        <x:v>否</x:v>
      </x:c>
      <x:c r="K42" s="73" t="str">
        <x:v>膜扩散/界面反应/产物层扩散串联</x:v>
      </x:c>
      <x:c r="L42" s="73" t="str">
        <x:v>粒径、气体浓度、动力学参数</x:v>
      </x:c>
      <x:c r="M42" s="73" t="str">
        <x:v>转化率、控速步骤</x:v>
      </x:c>
      <x:c r="N42" s="73" t="str">
        <x:v>动力学参数高度依赖材料状态与设备条件；公开参数只能作初始值，需本地标定</x:v>
      </x:c>
      <x:c r="O42" s="73" t="str">
        <x:v>planned_unimplemented</x:v>
      </x:c>
      <x:c r="P42" s="73"/>
      <x:c r="Q42" s="73"/>
      <x:c r="R42" s="73"/>
      <x:c r="S42" s="73" t="str">
        <x:v>provisionally_independent</x:v>
      </x:c>
      <x:c r="T42" s="73"/>
      <x:c r="U42" s="73" t="str"/>
      <x:c r="V42" s="73" t="str">
        <x:v>not_used_for_tool_acceptance</x:v>
      </x:c>
      <x:c r="W42" s="73" t="str">
        <x:v>unreviewed</x:v>
      </x:c>
      <x:c r="X42" s="73"/>
      <x:c r="Y42" s="73" t="str">
        <x:f>IF(X42="接受",IF(O42="implemented_tested_unreviewed",IF(S42="provisionally_independent","候选可用","需先完成家族复审"),"缺少实现"),IF(X42="拒绝","排除","未审批"))</x:f>
        <x:v>未审批</x:v>
      </x:c>
      <x:c r="Z42" s="73"/>
      <x:c r="AA42" s="73"/>
      <x:c r="AB42" s="73"/>
      <x:c r="AC42" s="73" t="n">
        <x:v>42</x:v>
      </x:c>
      <x:c r="AD42" s="73" t="str">
        <x:v>公开基础数据+项目数据字典</x:v>
      </x:c>
      <x:c r="AE42" s="73" t="str">
        <x:v>解析解/手算样例/边界值单元测试</x:v>
      </x:c>
      <x:c r="AF42" s="73" t="str">
        <x:v>仅存在于规划清单；不得计入当前可调用工具数。</x:v>
      </x:c>
    </x:row>
    <x:row r="43">
      <x:c r="A43" s="73" t="str">
        <x:v>C007</x:v>
      </x:c>
      <x:c r="B43" s="73" t="str">
        <x:v>动力学与传递</x:v>
      </x:c>
      <x:c r="C43" s="73" t="str">
        <x:v>抛物线氧化动力学</x:v>
      </x:c>
      <x:c r="D43" s="73" t="str">
        <x:v>确定性公式/规则</x:v>
      </x:c>
      <x:c r="E43" s="73" t="str">
        <x:v>calc_parabolic_oxidation</x:v>
      </x:c>
      <x:c r="F43" s="73"/>
      <x:c r="G43" s="73"/>
      <x:c r="H43" s="73" t="str">
        <x:v>not_implemented</x:v>
      </x:c>
      <x:c r="I43" s="73" t="str">
        <x:v>P1</x:v>
      </x:c>
      <x:c r="J43" s="73" t="str">
        <x:v>否</x:v>
      </x:c>
      <x:c r="K43" s="73" t="str">
        <x:v>质量增重平方律</x:v>
      </x:c>
      <x:c r="L43" s="73" t="str">
        <x:v>温度、时间、氧化常数</x:v>
      </x:c>
      <x:c r="M43" s="73" t="str">
        <x:v>氧化层厚度/质量增重</x:v>
      </x:c>
      <x:c r="N43" s="73" t="str">
        <x:v>动力学参数高度依赖材料状态与设备条件；公开参数只能作初始值，需本地标定</x:v>
      </x:c>
      <x:c r="O43" s="73" t="str">
        <x:v>planned_unimplemented</x:v>
      </x:c>
      <x:c r="P43" s="73"/>
      <x:c r="Q43" s="73"/>
      <x:c r="R43" s="73"/>
      <x:c r="S43" s="73" t="str">
        <x:v>provisionally_independent</x:v>
      </x:c>
      <x:c r="T43" s="73"/>
      <x:c r="U43" s="73" t="str"/>
      <x:c r="V43" s="73" t="str">
        <x:v>not_used_for_tool_acceptance</x:v>
      </x:c>
      <x:c r="W43" s="73" t="str">
        <x:v>unreviewed</x:v>
      </x:c>
      <x:c r="X43" s="73"/>
      <x:c r="Y43" s="73" t="str">
        <x:f>IF(X43="接受",IF(O43="implemented_tested_unreviewed",IF(S43="provisionally_independent","候选可用","需先完成家族复审"),"缺少实现"),IF(X43="拒绝","排除","未审批"))</x:f>
        <x:v>未审批</x:v>
      </x:c>
      <x:c r="Z43" s="73"/>
      <x:c r="AA43" s="73"/>
      <x:c r="AB43" s="73"/>
      <x:c r="AC43" s="73" t="n">
        <x:v>43</x:v>
      </x:c>
      <x:c r="AD43" s="73" t="str">
        <x:v>公开基础数据+项目数据字典</x:v>
      </x:c>
      <x:c r="AE43" s="73" t="str">
        <x:v>解析解/手算样例/边界值单元测试</x:v>
      </x:c>
      <x:c r="AF43" s="73" t="str">
        <x:v>仅存在于规划清单；不得计入当前可调用工具数。</x:v>
      </x:c>
    </x:row>
    <x:row r="44">
      <x:c r="A44" s="73" t="str">
        <x:v>C008</x:v>
      </x:c>
      <x:c r="B44" s="73" t="str">
        <x:v>动力学与传递</x:v>
      </x:c>
      <x:c r="C44" s="73" t="str">
        <x:v>熔渣/钢液黏度估算</x:v>
      </x:c>
      <x:c r="D44" s="73" t="str">
        <x:v>经验/机器学习</x:v>
      </x:c>
      <x:c r="E44" s="73" t="str">
        <x:v>estimate_melt_viscosity</x:v>
      </x:c>
      <x:c r="F44" s="73"/>
      <x:c r="G44" s="73"/>
      <x:c r="H44" s="73" t="str">
        <x:v>not_implemented</x:v>
      </x:c>
      <x:c r="I44" s="73" t="str">
        <x:v>P2</x:v>
      </x:c>
      <x:c r="J44" s="73" t="str">
        <x:v>可选</x:v>
      </x:c>
      <x:c r="K44" s="73" t="str">
        <x:v>组分—温度经验关联或回归</x:v>
      </x:c>
      <x:c r="L44" s="73" t="str">
        <x:v>渣/钢组成、温度</x:v>
      </x:c>
      <x:c r="M44" s="73" t="str">
        <x:v>黏度、置信区间</x:v>
      </x:c>
      <x:c r="N44" s="73" t="str">
        <x:v>动力学参数高度依赖材料状态与设备条件；公开参数只能作初始值，需本地标定</x:v>
      </x:c>
      <x:c r="O44" s="73" t="str">
        <x:v>planned_unimplemented</x:v>
      </x:c>
      <x:c r="P44" s="73"/>
      <x:c r="Q44" s="73"/>
      <x:c r="R44" s="73"/>
      <x:c r="S44" s="73" t="str">
        <x:v>provisionally_independent</x:v>
      </x:c>
      <x:c r="T44" s="73"/>
      <x:c r="U44" s="73" t="str"/>
      <x:c r="V44" s="73" t="str">
        <x:v>not_used_for_tool_acceptance</x:v>
      </x:c>
      <x:c r="W44" s="73" t="str">
        <x:v>unreviewed</x:v>
      </x:c>
      <x:c r="X44" s="73"/>
      <x:c r="Y44" s="73" t="str">
        <x:f>IF(X44="接受",IF(O44="implemented_tested_unreviewed",IF(S44="provisionally_independent","候选可用","需先完成家族复审"),"缺少实现"),IF(X44="拒绝","排除","未审批"))</x:f>
        <x:v>未审批</x:v>
      </x:c>
      <x:c r="Z44" s="73"/>
      <x:c r="AA44" s="73"/>
      <x:c r="AB44" s="73"/>
      <x:c r="AC44" s="73" t="n">
        <x:v>44</x:v>
      </x:c>
      <x:c r="AD44" s="73" t="str">
        <x:v>公开基础数据+项目数据字典</x:v>
      </x:c>
      <x:c r="AE44" s="73" t="str">
        <x:v>独立实验/商业软件对照+成分留组</x:v>
      </x:c>
      <x:c r="AF44" s="73" t="str">
        <x:v>仅存在于规划清单；不得计入当前可调用工具数。</x:v>
      </x:c>
    </x:row>
    <x:row r="45">
      <x:c r="A45" s="73" t="str">
        <x:v>C009</x:v>
      </x:c>
      <x:c r="B45" s="73" t="str">
        <x:v>动力学与传递</x:v>
      </x:c>
      <x:c r="C45" s="73" t="str">
        <x:v>导热系数混合规则</x:v>
      </x:c>
      <x:c r="D45" s="73" t="str">
        <x:v>确定性公式/规则</x:v>
      </x:c>
      <x:c r="E45" s="73" t="str">
        <x:v>mix_thermal_conductivity</x:v>
      </x:c>
      <x:c r="F45" s="73"/>
      <x:c r="G45" s="73"/>
      <x:c r="H45" s="73" t="str">
        <x:v>not_implemented</x:v>
      </x:c>
      <x:c r="I45" s="73" t="str">
        <x:v>P2</x:v>
      </x:c>
      <x:c r="J45" s="73" t="str">
        <x:v>否</x:v>
      </x:c>
      <x:c r="K45" s="73" t="str">
        <x:v>串并联、Maxwell-Eucken等混合规则</x:v>
      </x:c>
      <x:c r="L45" s="73" t="str">
        <x:v>各相导热率、相分数、结构假设</x:v>
      </x:c>
      <x:c r="M45" s="73" t="str">
        <x:v>有效导热率、上下界</x:v>
      </x:c>
      <x:c r="N45" s="73" t="str">
        <x:v>仅在显式输入范围和单位体系内使用；超界必须返回警告</x:v>
      </x:c>
      <x:c r="O45" s="73" t="str">
        <x:v>planned_unimplemented</x:v>
      </x:c>
      <x:c r="P45" s="73"/>
      <x:c r="Q45" s="73"/>
      <x:c r="R45" s="73"/>
      <x:c r="S45" s="73" t="str">
        <x:v>provisionally_independent</x:v>
      </x:c>
      <x:c r="T45" s="73"/>
      <x:c r="U45" s="73" t="str"/>
      <x:c r="V45" s="73" t="str">
        <x:v>not_used_for_tool_acceptance</x:v>
      </x:c>
      <x:c r="W45" s="73" t="str">
        <x:v>unreviewed</x:v>
      </x:c>
      <x:c r="X45" s="73"/>
      <x:c r="Y45" s="73" t="str">
        <x:f>IF(X45="接受",IF(O45="implemented_tested_unreviewed",IF(S45="provisionally_independent","候选可用","需先完成家族复审"),"缺少实现"),IF(X45="拒绝","排除","未审批"))</x:f>
        <x:v>未审批</x:v>
      </x:c>
      <x:c r="Z45" s="73"/>
      <x:c r="AA45" s="73"/>
      <x:c r="AB45" s="73"/>
      <x:c r="AC45" s="73" t="n">
        <x:v>45</x:v>
      </x:c>
      <x:c r="AD45" s="73" t="str">
        <x:v>公开基础数据+项目数据字典</x:v>
      </x:c>
      <x:c r="AE45" s="73" t="str">
        <x:v>解析解/手算样例/边界值单元测试</x:v>
      </x:c>
      <x:c r="AF45" s="73" t="str">
        <x:v>仅存在于规划清单；不得计入当前可调用工具数。</x:v>
      </x:c>
    </x:row>
    <x:row r="46">
      <x:c r="A46" s="73" t="str">
        <x:v>C010</x:v>
      </x:c>
      <x:c r="B46" s="73" t="str">
        <x:v>动力学与传递</x:v>
      </x:c>
      <x:c r="C46" s="73" t="str">
        <x:v>界面传质系数估算</x:v>
      </x:c>
      <x:c r="D46" s="73" t="str">
        <x:v>确定性公式/规则</x:v>
      </x:c>
      <x:c r="E46" s="73" t="str">
        <x:v>estimate_mass_transfer_coefficient</x:v>
      </x:c>
      <x:c r="F46" s="73"/>
      <x:c r="G46" s="73"/>
      <x:c r="H46" s="73" t="str">
        <x:v>not_implemented</x:v>
      </x:c>
      <x:c r="I46" s="73" t="str">
        <x:v>P2</x:v>
      </x:c>
      <x:c r="J46" s="73" t="str">
        <x:v>否</x:v>
      </x:c>
      <x:c r="K46" s="73" t="str">
        <x:v>Sherwood/Reynolds/Schmidt关联</x:v>
      </x:c>
      <x:c r="L46" s="73" t="str">
        <x:v>流速、尺度、物性、几何</x:v>
      </x:c>
      <x:c r="M46" s="73" t="str">
        <x:v>传质系数、适用Re范围</x:v>
      </x:c>
      <x:c r="N46" s="73" t="str">
        <x:v>动力学参数高度依赖材料状态与设备条件；公开参数只能作初始值，需本地标定</x:v>
      </x:c>
      <x:c r="O46" s="73" t="str">
        <x:v>planned_unimplemented</x:v>
      </x:c>
      <x:c r="P46" s="73"/>
      <x:c r="Q46" s="73"/>
      <x:c r="R46" s="73"/>
      <x:c r="S46" s="73" t="str">
        <x:v>provisionally_independent</x:v>
      </x:c>
      <x:c r="T46" s="73"/>
      <x:c r="U46" s="73" t="str"/>
      <x:c r="V46" s="73" t="str">
        <x:v>not_used_for_tool_acceptance</x:v>
      </x:c>
      <x:c r="W46" s="73" t="str">
        <x:v>unreviewed</x:v>
      </x:c>
      <x:c r="X46" s="73"/>
      <x:c r="Y46" s="73" t="str">
        <x:f>IF(X46="接受",IF(O46="implemented_tested_unreviewed",IF(S46="provisionally_independent","候选可用","需先完成家族复审"),"缺少实现"),IF(X46="拒绝","排除","未审批"))</x:f>
        <x:v>未审批</x:v>
      </x:c>
      <x:c r="Z46" s="73"/>
      <x:c r="AA46" s="73"/>
      <x:c r="AB46" s="73"/>
      <x:c r="AC46" s="73" t="n">
        <x:v>46</x:v>
      </x:c>
      <x:c r="AD46" s="73" t="str">
        <x:v>公开基础数据+项目数据字典</x:v>
      </x:c>
      <x:c r="AE46" s="73" t="str">
        <x:v>解析解/手算样例/边界值单元测试</x:v>
      </x:c>
      <x:c r="AF46" s="73" t="str">
        <x:v>仅存在于规划清单；不得计入当前可调用工具数。</x:v>
      </x:c>
    </x:row>
    <x:row r="47">
      <x:c r="A47" s="73" t="str">
        <x:v>D001</x:v>
      </x:c>
      <x:c r="B47" s="73" t="str">
        <x:v>转炉炼钢</x:v>
      </x:c>
      <x:c r="C47" s="73" t="str">
        <x:v>转炉装料物料平衡</x:v>
      </x:c>
      <x:c r="D47" s="73" t="str">
        <x:v>确定性公式/规则</x:v>
      </x:c>
      <x:c r="E47" s="73" t="str">
        <x:v>balance_bof_charge</x:v>
      </x:c>
      <x:c r="F47" s="73"/>
      <x:c r="G47" s="73"/>
      <x:c r="H47" s="73" t="str">
        <x:v>not_implemented</x:v>
      </x:c>
      <x:c r="I47" s="73" t="str">
        <x:v>P0</x:v>
      </x:c>
      <x:c r="J47" s="73" t="str">
        <x:v>否</x:v>
      </x:c>
      <x:c r="K47" s="73" t="str">
        <x:v>铁、碳、硅、锰、磷等元素收支</x:v>
      </x:c>
      <x:c r="L47" s="73" t="str">
        <x:v>铁水/废钢/熔剂/目标钢水</x:v>
      </x:c>
      <x:c r="M47" s="73" t="str">
        <x:v>各物流质量、元素闭合率</x:v>
      </x:c>
      <x:c r="N47" s="73" t="str">
        <x:v>必须按转炉、炉龄、原料和钢种标定；预测/优化结果仅作辅助，超出训练分布需人工确认</x:v>
      </x:c>
      <x:c r="O47" s="73" t="str">
        <x:v>planned_unimplemented</x:v>
      </x:c>
      <x:c r="P47" s="73"/>
      <x:c r="Q47" s="73"/>
      <x:c r="R47" s="73"/>
      <x:c r="S47" s="73" t="str">
        <x:v>provisionally_independent</x:v>
      </x:c>
      <x:c r="T47" s="73"/>
      <x:c r="U47" s="73" t="str"/>
      <x:c r="V47" s="73" t="str">
        <x:v>not_used_for_tool_acceptance</x:v>
      </x:c>
      <x:c r="W47" s="73" t="str">
        <x:v>unreviewed</x:v>
      </x:c>
      <x:c r="X47" s="73"/>
      <x:c r="Y47" s="73" t="str">
        <x:f>IF(X47="接受",IF(O47="implemented_tested_unreviewed",IF(S47="provisionally_independent","候选可用","需先完成家族复审"),"缺少实现"),IF(X47="拒绝","排除","未审批"))</x:f>
        <x:v>未审批</x:v>
      </x:c>
      <x:c r="Z47" s="73"/>
      <x:c r="AA47" s="73"/>
      <x:c r="AB47" s="73"/>
      <x:c r="AC47" s="73" t="n">
        <x:v>47</x:v>
      </x:c>
      <x:c r="AD47" s="73" t="str">
        <x:v>DS042企业炉次数据+原料/热化学数据</x:v>
      </x:c>
      <x:c r="AE47" s="73" t="str">
        <x:v>解析解/手算样例/边界值单元测试</x:v>
      </x:c>
      <x:c r="AF47" s="73" t="str">
        <x:v>仅存在于规划清单；不得计入当前可调用工具数。</x:v>
      </x:c>
    </x:row>
    <x:row r="48">
      <x:c r="A48" s="73" t="str">
        <x:v>D002</x:v>
      </x:c>
      <x:c r="B48" s="73" t="str">
        <x:v>转炉炼钢</x:v>
      </x:c>
      <x:c r="C48" s="73" t="str">
        <x:v>铁水-废钢热平衡</x:v>
      </x:c>
      <x:c r="D48" s="73" t="str">
        <x:v>确定性公式/规则</x:v>
      </x:c>
      <x:c r="E48" s="73" t="str">
        <x:v>balance_bof_heat</x:v>
      </x:c>
      <x:c r="F48" s="73"/>
      <x:c r="G48" s="73"/>
      <x:c r="H48" s="73" t="str">
        <x:v>not_implemented</x:v>
      </x:c>
      <x:c r="I48" s="73" t="str">
        <x:v>P0</x:v>
      </x:c>
      <x:c r="J48" s="73" t="str">
        <x:v>否</x:v>
      </x:c>
      <x:c r="K48" s="73" t="str">
        <x:v>显热、反应热、熔化热、散热能量平衡</x:v>
      </x:c>
      <x:c r="L48" s="73" t="str">
        <x:v>装料、温度、成分、热损失</x:v>
      </x:c>
      <x:c r="M48" s="73" t="str">
        <x:v>可熔废钢量、终点温度、热闭合率</x:v>
      </x:c>
      <x:c r="N48" s="73" t="str">
        <x:v>必须按转炉、炉龄、原料和钢种标定；预测/优化结果仅作辅助，超出训练分布需人工确认</x:v>
      </x:c>
      <x:c r="O48" s="73" t="str">
        <x:v>planned_unimplemented</x:v>
      </x:c>
      <x:c r="P48" s="73"/>
      <x:c r="Q48" s="73"/>
      <x:c r="R48" s="73"/>
      <x:c r="S48" s="73" t="str">
        <x:v>provisionally_independent</x:v>
      </x:c>
      <x:c r="T48" s="73"/>
      <x:c r="U48" s="73" t="str"/>
      <x:c r="V48" s="73" t="str">
        <x:v>not_used_for_tool_acceptance</x:v>
      </x:c>
      <x:c r="W48" s="73" t="str">
        <x:v>unreviewed</x:v>
      </x:c>
      <x:c r="X48" s="73"/>
      <x:c r="Y48" s="73" t="str">
        <x:f>IF(X48="接受",IF(O48="implemented_tested_unreviewed",IF(S48="provisionally_independent","候选可用","需先完成家族复审"),"缺少实现"),IF(X48="拒绝","排除","未审批"))</x:f>
        <x:v>未审批</x:v>
      </x:c>
      <x:c r="Z48" s="73"/>
      <x:c r="AA48" s="73"/>
      <x:c r="AB48" s="73"/>
      <x:c r="AC48" s="73" t="n">
        <x:v>48</x:v>
      </x:c>
      <x:c r="AD48" s="73" t="str">
        <x:v>DS042企业炉次数据+原料/热化学数据</x:v>
      </x:c>
      <x:c r="AE48" s="73" t="str">
        <x:v>解析解/手算样例/边界值单元测试</x:v>
      </x:c>
      <x:c r="AF48" s="73" t="str">
        <x:v>仅存在于规划清单；不得计入当前可调用工具数。</x:v>
      </x:c>
    </x:row>
    <x:row r="49">
      <x:c r="A49" s="73" t="str">
        <x:v>D003</x:v>
      </x:c>
      <x:c r="B49" s="73" t="str">
        <x:v>转炉炼钢</x:v>
      </x:c>
      <x:c r="C49" s="73" t="str">
        <x:v>理论耗氧量</x:v>
      </x:c>
      <x:c r="D49" s="73" t="str">
        <x:v>确定性公式/规则</x:v>
      </x:c>
      <x:c r="E49" s="73" t="str">
        <x:v>calc_bof_oxygen_demand</x:v>
      </x:c>
      <x:c r="F49" s="73"/>
      <x:c r="G49" s="73"/>
      <x:c r="H49" s="73" t="str">
        <x:v>not_implemented</x:v>
      </x:c>
      <x:c r="I49" s="73" t="str">
        <x:v>P0</x:v>
      </x:c>
      <x:c r="J49" s="73" t="str">
        <x:v>否</x:v>
      </x:c>
      <x:c r="K49" s="73" t="str">
        <x:v>Si/Mn/C/P/Fe氧化化学计量</x:v>
      </x:c>
      <x:c r="L49" s="73" t="str">
        <x:v>铁水成分、目标终点、收得率</x:v>
      </x:c>
      <x:c r="M49" s="73" t="str">
        <x:v>理论氧量、分元素耗氧</x:v>
      </x:c>
      <x:c r="N49" s="73" t="str">
        <x:v>必须按转炉、炉龄、原料和钢种标定；预测/优化结果仅作辅助，超出训练分布需人工确认</x:v>
      </x:c>
      <x:c r="O49" s="73" t="str">
        <x:v>planned_unimplemented</x:v>
      </x:c>
      <x:c r="P49" s="73"/>
      <x:c r="Q49" s="73"/>
      <x:c r="R49" s="73"/>
      <x:c r="S49" s="73" t="str">
        <x:v>provisionally_independent</x:v>
      </x:c>
      <x:c r="T49" s="73"/>
      <x:c r="U49" s="73" t="str"/>
      <x:c r="V49" s="73" t="str">
        <x:v>not_used_for_tool_acceptance</x:v>
      </x:c>
      <x:c r="W49" s="73" t="str">
        <x:v>unreviewed</x:v>
      </x:c>
      <x:c r="X49" s="73"/>
      <x:c r="Y49" s="73" t="str">
        <x:f>IF(X49="接受",IF(O49="implemented_tested_unreviewed",IF(S49="provisionally_independent","候选可用","需先完成家族复审"),"缺少实现"),IF(X49="拒绝","排除","未审批"))</x:f>
        <x:v>未审批</x:v>
      </x:c>
      <x:c r="Z49" s="73"/>
      <x:c r="AA49" s="73"/>
      <x:c r="AB49" s="73"/>
      <x:c r="AC49" s="73" t="n">
        <x:v>49</x:v>
      </x:c>
      <x:c r="AD49" s="73" t="str">
        <x:v>DS042企业炉次数据+原料/热化学数据</x:v>
      </x:c>
      <x:c r="AE49" s="73" t="str">
        <x:v>解析解/手算样例/边界值单元测试</x:v>
      </x:c>
      <x:c r="AF49" s="73" t="str">
        <x:v>仅存在于规划清单；不得计入当前可调用工具数。</x:v>
      </x:c>
    </x:row>
    <x:row r="50">
      <x:c r="A50" s="73" t="str">
        <x:v>D004</x:v>
      </x:c>
      <x:c r="B50" s="73" t="str">
        <x:v>转炉炼钢</x:v>
      </x:c>
      <x:c r="C50" s="73" t="str">
        <x:v>石灰/白云石加入量</x:v>
      </x:c>
      <x:c r="D50" s="73" t="str">
        <x:v>确定性公式/规则</x:v>
      </x:c>
      <x:c r="E50" s="73" t="str">
        <x:v>calc_bof_flux_addition</x:v>
      </x:c>
      <x:c r="F50" s="73"/>
      <x:c r="G50" s="73"/>
      <x:c r="H50" s="73" t="str">
        <x:v>not_implemented</x:v>
      </x:c>
      <x:c r="I50" s="73" t="str">
        <x:v>P0</x:v>
      </x:c>
      <x:c r="J50" s="73" t="str">
        <x:v>否</x:v>
      </x:c>
      <x:c r="K50" s="73" t="str">
        <x:v>目标碱度/MgO约束的熔剂配平</x:v>
      </x:c>
      <x:c r="L50" s="73" t="str">
        <x:v>Si/P、目标碱度、石灰/白云石成分</x:v>
      </x:c>
      <x:c r="M50" s="73" t="str">
        <x:v>熔剂加入量、预计渣成分</x:v>
      </x:c>
      <x:c r="N50" s="73" t="str">
        <x:v>必须按转炉、炉龄、原料和钢种标定；预测/优化结果仅作辅助，超出训练分布需人工确认</x:v>
      </x:c>
      <x:c r="O50" s="73" t="str">
        <x:v>planned_unimplemented</x:v>
      </x:c>
      <x:c r="P50" s="73"/>
      <x:c r="Q50" s="73"/>
      <x:c r="R50" s="73"/>
      <x:c r="S50" s="73" t="str">
        <x:v>provisionally_independent</x:v>
      </x:c>
      <x:c r="T50" s="73"/>
      <x:c r="U50" s="73" t="str"/>
      <x:c r="V50" s="73" t="str">
        <x:v>not_used_for_tool_acceptance</x:v>
      </x:c>
      <x:c r="W50" s="73" t="str">
        <x:v>unreviewed</x:v>
      </x:c>
      <x:c r="X50" s="73"/>
      <x:c r="Y50" s="73" t="str">
        <x:f>IF(X50="接受",IF(O50="implemented_tested_unreviewed",IF(S50="provisionally_independent","候选可用","需先完成家族复审"),"缺少实现"),IF(X50="拒绝","排除","未审批"))</x:f>
        <x:v>未审批</x:v>
      </x:c>
      <x:c r="Z50" s="73"/>
      <x:c r="AA50" s="73"/>
      <x:c r="AB50" s="73"/>
      <x:c r="AC50" s="73" t="n">
        <x:v>50</x:v>
      </x:c>
      <x:c r="AD50" s="73" t="str">
        <x:v>DS042企业炉次数据+原料/热化学数据</x:v>
      </x:c>
      <x:c r="AE50" s="73" t="str">
        <x:v>解析解/手算样例/边界值单元测试</x:v>
      </x:c>
      <x:c r="AF50" s="73" t="str">
        <x:v>仅存在于规划清单；不得计入当前可调用工具数。</x:v>
      </x:c>
    </x:row>
    <x:row r="51">
      <x:c r="A51" s="73" t="str">
        <x:v>D005</x:v>
      </x:c>
      <x:c r="B51" s="73" t="str">
        <x:v>转炉炼钢</x:v>
      </x:c>
      <x:c r="C51" s="73" t="str">
        <x:v>炉渣量估算</x:v>
      </x:c>
      <x:c r="D51" s="73" t="str">
        <x:v>确定性公式/规则</x:v>
      </x:c>
      <x:c r="E51" s="73" t="str">
        <x:v>estimate_bof_slag_mass</x:v>
      </x:c>
      <x:c r="F51" s="73"/>
      <x:c r="G51" s="73"/>
      <x:c r="H51" s="73" t="str">
        <x:v>not_implemented</x:v>
      </x:c>
      <x:c r="I51" s="73" t="str">
        <x:v>P1</x:v>
      </x:c>
      <x:c r="J51" s="73" t="str">
        <x:v>否</x:v>
      </x:c>
      <x:c r="K51" s="73" t="str">
        <x:v>氧化产物+熔剂+夹带估算</x:v>
      </x:c>
      <x:c r="L51" s="73" t="str">
        <x:v>装料和氧化量</x:v>
      </x:c>
      <x:c r="M51" s="73" t="str">
        <x:v>总渣量、组分</x:v>
      </x:c>
      <x:c r="N51" s="73" t="str">
        <x:v>必须按转炉、炉龄、原料和钢种标定；预测/优化结果仅作辅助，超出训练分布需人工确认</x:v>
      </x:c>
      <x:c r="O51" s="73" t="str">
        <x:v>planned_unimplemented</x:v>
      </x:c>
      <x:c r="P51" s="73"/>
      <x:c r="Q51" s="73"/>
      <x:c r="R51" s="73"/>
      <x:c r="S51" s="73" t="str">
        <x:v>provisionally_independent</x:v>
      </x:c>
      <x:c r="T51" s="73"/>
      <x:c r="U51" s="73" t="str"/>
      <x:c r="V51" s="73" t="str">
        <x:v>not_used_for_tool_acceptance</x:v>
      </x:c>
      <x:c r="W51" s="73" t="str">
        <x:v>unreviewed</x:v>
      </x:c>
      <x:c r="X51" s="73"/>
      <x:c r="Y51" s="73" t="str">
        <x:f>IF(X51="接受",IF(O51="implemented_tested_unreviewed",IF(S51="provisionally_independent","候选可用","需先完成家族复审"),"缺少实现"),IF(X51="拒绝","排除","未审批"))</x:f>
        <x:v>未审批</x:v>
      </x:c>
      <x:c r="Z51" s="73"/>
      <x:c r="AA51" s="73"/>
      <x:c r="AB51" s="73"/>
      <x:c r="AC51" s="73" t="n">
        <x:v>51</x:v>
      </x:c>
      <x:c r="AD51" s="73" t="str">
        <x:v>DS042企业炉次数据+原料/热化学数据</x:v>
      </x:c>
      <x:c r="AE51" s="73" t="str">
        <x:v>解析解/手算样例/边界值单元测试</x:v>
      </x:c>
      <x:c r="AF51" s="73" t="str">
        <x:v>仅存在于规划清单；不得计入当前可调用工具数。</x:v>
      </x:c>
    </x:row>
    <x:row r="52">
      <x:c r="A52" s="73" t="str">
        <x:v>D006</x:v>
      </x:c>
      <x:c r="B52" s="73" t="str">
        <x:v>转炉炼钢</x:v>
      </x:c>
      <x:c r="C52" s="73" t="str">
        <x:v>炉渣碱度计算</x:v>
      </x:c>
      <x:c r="D52" s="73" t="str">
        <x:v>确定性公式/规则</x:v>
      </x:c>
      <x:c r="E52" s="73" t="str">
        <x:v>calc_slag_basicity</x:v>
      </x:c>
      <x:c r="F52" s="73"/>
      <x:c r="G52" s="73"/>
      <x:c r="H52" s="73" t="str">
        <x:v>not_implemented</x:v>
      </x:c>
      <x:c r="I52" s="73" t="str">
        <x:v>P1</x:v>
      </x:c>
      <x:c r="J52" s="73" t="str">
        <x:v>否</x:v>
      </x:c>
      <x:c r="K52" s="73" t="str">
        <x:v>CaO/SiO2及多元碱度指标</x:v>
      </x:c>
      <x:c r="L52" s="73" t="str">
        <x:v>渣成分、碱度定义</x:v>
      </x:c>
      <x:c r="M52" s="73" t="str">
        <x:v>碱度值、合格判定</x:v>
      </x:c>
      <x:c r="N52" s="73" t="str">
        <x:v>必须按转炉、炉龄、原料和钢种标定；预测/优化结果仅作辅助，超出训练分布需人工确认</x:v>
      </x:c>
      <x:c r="O52" s="73" t="str">
        <x:v>planned_unimplemented</x:v>
      </x:c>
      <x:c r="P52" s="73"/>
      <x:c r="Q52" s="73"/>
      <x:c r="R52" s="73"/>
      <x:c r="S52" s="73" t="str">
        <x:v>provisionally_independent</x:v>
      </x:c>
      <x:c r="T52" s="73"/>
      <x:c r="U52" s="73" t="str"/>
      <x:c r="V52" s="73" t="str">
        <x:v>not_used_for_tool_acceptance</x:v>
      </x:c>
      <x:c r="W52" s="73" t="str">
        <x:v>unreviewed</x:v>
      </x:c>
      <x:c r="X52" s="73"/>
      <x:c r="Y52" s="73" t="str">
        <x:f>IF(X52="接受",IF(O52="implemented_tested_unreviewed",IF(S52="provisionally_independent","候选可用","需先完成家族复审"),"缺少实现"),IF(X52="拒绝","排除","未审批"))</x:f>
        <x:v>未审批</x:v>
      </x:c>
      <x:c r="Z52" s="73"/>
      <x:c r="AA52" s="73"/>
      <x:c r="AB52" s="73"/>
      <x:c r="AC52" s="73" t="n">
        <x:v>52</x:v>
      </x:c>
      <x:c r="AD52" s="73" t="str">
        <x:v>DS042企业炉次数据+原料/热化学数据</x:v>
      </x:c>
      <x:c r="AE52" s="73" t="str">
        <x:v>解析解/手算样例/边界值单元测试</x:v>
      </x:c>
      <x:c r="AF52" s="73" t="str">
        <x:v>仅存在于规划清单；不得计入当前可调用工具数。</x:v>
      </x:c>
    </x:row>
    <x:row r="53">
      <x:c r="A53" s="73" t="str">
        <x:v>D007</x:v>
      </x:c>
      <x:c r="B53" s="73" t="str">
        <x:v>转炉炼钢</x:v>
      </x:c>
      <x:c r="C53" s="73" t="str">
        <x:v>脱碳速率模型</x:v>
      </x:c>
      <x:c r="D53" s="73" t="str">
        <x:v>动力学/混合模型</x:v>
      </x:c>
      <x:c r="E53" s="73" t="str">
        <x:v>calc_bof_decarburization_rate</x:v>
      </x:c>
      <x:c r="F53" s="73"/>
      <x:c r="G53" s="73"/>
      <x:c r="H53" s="73" t="str">
        <x:v>not_implemented</x:v>
      </x:c>
      <x:c r="I53" s="73" t="str">
        <x:v>P1</x:v>
      </x:c>
      <x:c r="J53" s="73" t="str">
        <x:v>可选</x:v>
      </x:c>
      <x:c r="K53" s="73" t="str">
        <x:v>分阶段脱碳动力学+氧供给约束</x:v>
      </x:c>
      <x:c r="L53" s="73" t="str">
        <x:v>时间、供氧、枪位、炉气/副枪信号</x:v>
      </x:c>
      <x:c r="M53" s="73" t="str">
        <x:v>脱碳速率、碳轨迹</x:v>
      </x:c>
      <x:c r="N53" s="73" t="str">
        <x:v>必须按转炉、炉龄、原料和钢种标定；预测/优化结果仅作辅助，超出训练分布需人工确认</x:v>
      </x:c>
      <x:c r="O53" s="73" t="str">
        <x:v>planned_unimplemented</x:v>
      </x:c>
      <x:c r="P53" s="73"/>
      <x:c r="Q53" s="73"/>
      <x:c r="R53" s="73"/>
      <x:c r="S53" s="73" t="str">
        <x:v>provisionally_independent</x:v>
      </x:c>
      <x:c r="T53" s="73"/>
      <x:c r="U53" s="73" t="str"/>
      <x:c r="V53" s="73" t="str">
        <x:v>not_used_for_tool_acceptance</x:v>
      </x:c>
      <x:c r="W53" s="73" t="str">
        <x:v>unreviewed</x:v>
      </x:c>
      <x:c r="X53" s="73"/>
      <x:c r="Y53" s="73" t="str">
        <x:f>IF(X53="接受",IF(O53="implemented_tested_unreviewed",IF(S53="provisionally_independent","候选可用","需先完成家族复审"),"缺少实现"),IF(X53="拒绝","排除","未审批"))</x:f>
        <x:v>未审批</x:v>
      </x:c>
      <x:c r="Z53" s="73"/>
      <x:c r="AA53" s="73"/>
      <x:c r="AB53" s="73"/>
      <x:c r="AC53" s="73" t="n">
        <x:v>53</x:v>
      </x:c>
      <x:c r="AD53" s="73" t="str">
        <x:v>DS042企业炉次数据+原料/热化学数据</x:v>
      </x:c>
      <x:c r="AE53" s="73" t="str">
        <x:v>解析解/手算样例/边界值单元测试</x:v>
      </x:c>
      <x:c r="AF53" s="73" t="str">
        <x:v>仅存在于规划清单；不得计入当前可调用工具数。</x:v>
      </x:c>
    </x:row>
    <x:row r="54">
      <x:c r="A54" s="73" t="str">
        <x:v>D008</x:v>
      </x:c>
      <x:c r="B54" s="73" t="str">
        <x:v>转炉炼钢</x:v>
      </x:c>
      <x:c r="C54" s="73" t="str">
        <x:v>终点碳预测</x:v>
      </x:c>
      <x:c r="D54" s="73" t="str">
        <x:v>机器学习预测</x:v>
      </x:c>
      <x:c r="E54" s="73" t="str">
        <x:v>predict_bof_endpoint_carbon</x:v>
      </x:c>
      <x:c r="F54" s="73"/>
      <x:c r="G54" s="73"/>
      <x:c r="H54" s="73" t="str">
        <x:v>not_implemented</x:v>
      </x:c>
      <x:c r="I54" s="73" t="str">
        <x:v>P1</x:v>
      </x:c>
      <x:c r="J54" s="73" t="str">
        <x:v>是</x:v>
      </x:c>
      <x:c r="K54" s="73" t="str">
        <x:v>GBDT/随机森林/时序特征+守恒约束</x:v>
      </x:c>
      <x:c r="L54" s="73" t="str">
        <x:v>装料、过程供氧/加料、炉气、副枪、历史炉次</x:v>
      </x:c>
      <x:c r="M54" s="73" t="str">
        <x:v>终点预测值、置信区间、特征贡献、是否建议测量</x:v>
      </x:c>
      <x:c r="N54" s="73" t="str">
        <x:v>必须按转炉、炉龄、原料和钢种标定；预测/优化结果仅作辅助，超出训练分布需人工确认</x:v>
      </x:c>
      <x:c r="O54" s="73" t="str">
        <x:v>planned_unimplemented</x:v>
      </x:c>
      <x:c r="P54" s="73"/>
      <x:c r="Q54" s="73"/>
      <x:c r="R54" s="73"/>
      <x:c r="S54" s="73" t="str">
        <x:v>needs_family_review</x:v>
      </x:c>
      <x:c r="T54" s="73" t="str">
        <x:v>FG-05</x:v>
      </x:c>
      <x:c r="U54" s="73" t="str">
        <x:v>D008, D009</x:v>
      </x:c>
      <x:c r="V54" s="73" t="str">
        <x:v>not_used_for_tool_acceptance</x:v>
      </x:c>
      <x:c r="W54" s="73" t="str">
        <x:v>unreviewed</x:v>
      </x:c>
      <x:c r="X54" s="73"/>
      <x:c r="Y54" s="73" t="str">
        <x:f>IF(X54="接受",IF(O54="implemented_tested_unreviewed",IF(S54="provisionally_independent","候选可用","需先完成家族复审"),"缺少实现"),IF(X54="拒绝","排除","未审批"))</x:f>
        <x:v>未审批</x:v>
      </x:c>
      <x:c r="Z54" s="73"/>
      <x:c r="AA54" s="73"/>
      <x:c r="AB54" s="73"/>
      <x:c r="AC54" s="73" t="n">
        <x:v>54</x:v>
      </x:c>
      <x:c r="AD54" s="73" t="str">
        <x:v>DS042企业炉次数据+原料/热化学数据</x:v>
      </x:c>
      <x:c r="AE54" s="73" t="str">
        <x:v>按时间外推测试+钢种/炉龄分层+与操作员基线比对</x:v>
      </x:c>
      <x:c r="AF54" s="73" t="str">
        <x:v>仅存在于规划清单；不得计入当前可调用工具数。</x:v>
      </x:c>
    </x:row>
    <x:row r="55">
      <x:c r="A55" s="73" t="str">
        <x:v>D009</x:v>
      </x:c>
      <x:c r="B55" s="73" t="str">
        <x:v>转炉炼钢</x:v>
      </x:c>
      <x:c r="C55" s="73" t="str">
        <x:v>终点温度预测</x:v>
      </x:c>
      <x:c r="D55" s="73" t="str">
        <x:v>机器学习预测</x:v>
      </x:c>
      <x:c r="E55" s="73" t="str">
        <x:v>predict_bof_endpoint_temperature</x:v>
      </x:c>
      <x:c r="F55" s="73"/>
      <x:c r="G55" s="73"/>
      <x:c r="H55" s="73" t="str">
        <x:v>not_implemented</x:v>
      </x:c>
      <x:c r="I55" s="73" t="str">
        <x:v>P1</x:v>
      </x:c>
      <x:c r="J55" s="73" t="str">
        <x:v>是</x:v>
      </x:c>
      <x:c r="K55" s="73" t="str">
        <x:v>GBDT/随机森林/时序特征+守恒约束</x:v>
      </x:c>
      <x:c r="L55" s="73" t="str">
        <x:v>装料、过程供氧/加料、炉气、副枪、历史炉次</x:v>
      </x:c>
      <x:c r="M55" s="73" t="str">
        <x:v>终点预测值、置信区间、特征贡献、是否建议测量</x:v>
      </x:c>
      <x:c r="N55" s="73" t="str">
        <x:v>必须按转炉、炉龄、原料和钢种标定；预测/优化结果仅作辅助，超出训练分布需人工确认</x:v>
      </x:c>
      <x:c r="O55" s="73" t="str">
        <x:v>planned_unimplemented</x:v>
      </x:c>
      <x:c r="P55" s="73"/>
      <x:c r="Q55" s="73"/>
      <x:c r="R55" s="73"/>
      <x:c r="S55" s="73" t="str">
        <x:v>needs_family_review</x:v>
      </x:c>
      <x:c r="T55" s="73" t="str">
        <x:v>FG-05</x:v>
      </x:c>
      <x:c r="U55" s="73" t="str">
        <x:v>D008, D009</x:v>
      </x:c>
      <x:c r="V55" s="73" t="str">
        <x:v>not_used_for_tool_acceptance</x:v>
      </x:c>
      <x:c r="W55" s="73" t="str">
        <x:v>unreviewed</x:v>
      </x:c>
      <x:c r="X55" s="73"/>
      <x:c r="Y55" s="73" t="str">
        <x:f>IF(X55="接受",IF(O55="implemented_tested_unreviewed",IF(S55="provisionally_independent","候选可用","需先完成家族复审"),"缺少实现"),IF(X55="拒绝","排除","未审批"))</x:f>
        <x:v>未审批</x:v>
      </x:c>
      <x:c r="Z55" s="73"/>
      <x:c r="AA55" s="73"/>
      <x:c r="AB55" s="73"/>
      <x:c r="AC55" s="73" t="n">
        <x:v>55</x:v>
      </x:c>
      <x:c r="AD55" s="73" t="str">
        <x:v>DS042企业炉次数据+原料/热化学数据</x:v>
      </x:c>
      <x:c r="AE55" s="73" t="str">
        <x:v>按时间外推测试+钢种/炉龄分层+与操作员基线比对</x:v>
      </x:c>
      <x:c r="AF55" s="73" t="str">
        <x:v>仅存在于规划清单；不得计入当前可调用工具数。</x:v>
      </x:c>
    </x:row>
    <x:row r="56">
      <x:c r="A56" s="73" t="str">
        <x:v>D010</x:v>
      </x:c>
      <x:c r="B56" s="73" t="str">
        <x:v>转炉炼钢</x:v>
      </x:c>
      <x:c r="C56" s="73" t="str">
        <x:v>磷分配比</x:v>
      </x:c>
      <x:c r="D56" s="73" t="str">
        <x:v>确定性公式/规则</x:v>
      </x:c>
      <x:c r="E56" s="73" t="str">
        <x:v>calc_phosphorus_partition</x:v>
      </x:c>
      <x:c r="F56" s="73"/>
      <x:c r="G56" s="73"/>
      <x:c r="H56" s="73" t="str">
        <x:v>not_implemented</x:v>
      </x:c>
      <x:c r="I56" s="73" t="str">
        <x:v>P1</x:v>
      </x:c>
      <x:c r="J56" s="73" t="str">
        <x:v>否</x:v>
      </x:c>
      <x:c r="K56" s="73" t="str">
        <x:v>渣-钢磷分配经验/热力学关联</x:v>
      </x:c>
      <x:c r="L56" s="73" t="str">
        <x:v>温度、渣成分、钢中P、氧势</x:v>
      </x:c>
      <x:c r="M56" s="73" t="str">
        <x:v>Lp、预测终点P</x:v>
      </x:c>
      <x:c r="N56" s="73" t="str">
        <x:v>必须按转炉、炉龄、原料和钢种标定；预测/优化结果仅作辅助，超出训练分布需人工确认</x:v>
      </x:c>
      <x:c r="O56" s="73" t="str">
        <x:v>planned_unimplemented</x:v>
      </x:c>
      <x:c r="P56" s="73"/>
      <x:c r="Q56" s="73"/>
      <x:c r="R56" s="73"/>
      <x:c r="S56" s="73" t="str">
        <x:v>provisionally_independent</x:v>
      </x:c>
      <x:c r="T56" s="73"/>
      <x:c r="U56" s="73" t="str"/>
      <x:c r="V56" s="73" t="str">
        <x:v>not_used_for_tool_acceptance</x:v>
      </x:c>
      <x:c r="W56" s="73" t="str">
        <x:v>unreviewed</x:v>
      </x:c>
      <x:c r="X56" s="73"/>
      <x:c r="Y56" s="73" t="str">
        <x:f>IF(X56="接受",IF(O56="implemented_tested_unreviewed",IF(S56="provisionally_independent","候选可用","需先完成家族复审"),"缺少实现"),IF(X56="拒绝","排除","未审批"))</x:f>
        <x:v>未审批</x:v>
      </x:c>
      <x:c r="Z56" s="73"/>
      <x:c r="AA56" s="73"/>
      <x:c r="AB56" s="73"/>
      <x:c r="AC56" s="73" t="n">
        <x:v>56</x:v>
      </x:c>
      <x:c r="AD56" s="73" t="str">
        <x:v>DS042企业炉次数据+原料/热化学数据</x:v>
      </x:c>
      <x:c r="AE56" s="73" t="str">
        <x:v>解析解/手算样例/边界值单元测试</x:v>
      </x:c>
      <x:c r="AF56" s="73" t="str">
        <x:v>仅存在于规划清单；不得计入当前可调用工具数。</x:v>
      </x:c>
    </x:row>
    <x:row r="57">
      <x:c r="A57" s="73" t="str">
        <x:v>D011</x:v>
      </x:c>
      <x:c r="B57" s="73" t="str">
        <x:v>转炉炼钢</x:v>
      </x:c>
      <x:c r="C57" s="73" t="str">
        <x:v>硫分配比</x:v>
      </x:c>
      <x:c r="D57" s="73" t="str">
        <x:v>确定性公式/规则</x:v>
      </x:c>
      <x:c r="E57" s="73" t="str">
        <x:v>calc_sulfur_partition</x:v>
      </x:c>
      <x:c r="F57" s="73"/>
      <x:c r="G57" s="73"/>
      <x:c r="H57" s="73" t="str">
        <x:v>not_implemented</x:v>
      </x:c>
      <x:c r="I57" s="73" t="str">
        <x:v>P1</x:v>
      </x:c>
      <x:c r="J57" s="73" t="str">
        <x:v>否</x:v>
      </x:c>
      <x:c r="K57" s="73" t="str">
        <x:v>硫容量/分配比关联</x:v>
      </x:c>
      <x:c r="L57" s="73" t="str">
        <x:v>温度、渣成分、钢中S、氧势</x:v>
      </x:c>
      <x:c r="M57" s="73" t="str">
        <x:v>Ls、预测S</x:v>
      </x:c>
      <x:c r="N57" s="73" t="str">
        <x:v>必须按转炉、炉龄、原料和钢种标定；预测/优化结果仅作辅助，超出训练分布需人工确认</x:v>
      </x:c>
      <x:c r="O57" s="73" t="str">
        <x:v>planned_unimplemented</x:v>
      </x:c>
      <x:c r="P57" s="73"/>
      <x:c r="Q57" s="73"/>
      <x:c r="R57" s="73"/>
      <x:c r="S57" s="73" t="str">
        <x:v>provisionally_independent</x:v>
      </x:c>
      <x:c r="T57" s="73"/>
      <x:c r="U57" s="73" t="str"/>
      <x:c r="V57" s="73" t="str">
        <x:v>not_used_for_tool_acceptance</x:v>
      </x:c>
      <x:c r="W57" s="73" t="str">
        <x:v>unreviewed</x:v>
      </x:c>
      <x:c r="X57" s="73"/>
      <x:c r="Y57" s="73" t="str">
        <x:f>IF(X57="接受",IF(O57="implemented_tested_unreviewed",IF(S57="provisionally_independent","候选可用","需先完成家族复审"),"缺少实现"),IF(X57="拒绝","排除","未审批"))</x:f>
        <x:v>未审批</x:v>
      </x:c>
      <x:c r="Z57" s="73"/>
      <x:c r="AA57" s="73"/>
      <x:c r="AB57" s="73"/>
      <x:c r="AC57" s="73" t="n">
        <x:v>57</x:v>
      </x:c>
      <x:c r="AD57" s="73" t="str">
        <x:v>DS042企业炉次数据+原料/热化学数据</x:v>
      </x:c>
      <x:c r="AE57" s="73" t="str">
        <x:v>解析解/手算样例/边界值单元测试</x:v>
      </x:c>
      <x:c r="AF57" s="73" t="str">
        <x:v>仅存在于规划清单；不得计入当前可调用工具数。</x:v>
      </x:c>
    </x:row>
    <x:row r="58">
      <x:c r="A58" s="73" t="str">
        <x:v>D012</x:v>
      </x:c>
      <x:c r="B58" s="73" t="str">
        <x:v>转炉炼钢</x:v>
      </x:c>
      <x:c r="C58" s="73" t="str">
        <x:v>锰氧化平衡</x:v>
      </x:c>
      <x:c r="D58" s="73" t="str">
        <x:v>确定性公式/规则</x:v>
      </x:c>
      <x:c r="E58" s="73" t="str">
        <x:v>calc_manganese_oxidation</x:v>
      </x:c>
      <x:c r="F58" s="73"/>
      <x:c r="G58" s="73"/>
      <x:c r="H58" s="73" t="str">
        <x:v>not_implemented</x:v>
      </x:c>
      <x:c r="I58" s="73" t="str">
        <x:v>P1</x:v>
      </x:c>
      <x:c r="J58" s="73" t="str">
        <x:v>否</x:v>
      </x:c>
      <x:c r="K58" s="73" t="str">
        <x:v>氧化平衡+活度修正</x:v>
      </x:c>
      <x:c r="L58" s="73" t="str">
        <x:v>温度、渣钢组成、氧势</x:v>
      </x:c>
      <x:c r="M58" s="73" t="str">
        <x:v>平衡残余量、氧化量</x:v>
      </x:c>
      <x:c r="N58" s="73" t="str">
        <x:v>必须按转炉、炉龄、原料和钢种标定；预测/优化结果仅作辅助，超出训练分布需人工确认</x:v>
      </x:c>
      <x:c r="O58" s="73" t="str">
        <x:v>planned_unimplemented</x:v>
      </x:c>
      <x:c r="P58" s="73"/>
      <x:c r="Q58" s="73"/>
      <x:c r="R58" s="73"/>
      <x:c r="S58" s="73" t="str">
        <x:v>needs_family_review</x:v>
      </x:c>
      <x:c r="T58" s="73" t="str">
        <x:v>FG-06</x:v>
      </x:c>
      <x:c r="U58" s="73" t="str">
        <x:v>D012, D013</x:v>
      </x:c>
      <x:c r="V58" s="73" t="str">
        <x:v>not_used_for_tool_acceptance</x:v>
      </x:c>
      <x:c r="W58" s="73" t="str">
        <x:v>unreviewed</x:v>
      </x:c>
      <x:c r="X58" s="73"/>
      <x:c r="Y58" s="73" t="str">
        <x:f>IF(X58="接受",IF(O58="implemented_tested_unreviewed",IF(S58="provisionally_independent","候选可用","需先完成家族复审"),"缺少实现"),IF(X58="拒绝","排除","未审批"))</x:f>
        <x:v>未审批</x:v>
      </x:c>
      <x:c r="Z58" s="73"/>
      <x:c r="AA58" s="73"/>
      <x:c r="AB58" s="73"/>
      <x:c r="AC58" s="73" t="n">
        <x:v>58</x:v>
      </x:c>
      <x:c r="AD58" s="73" t="str">
        <x:v>DS042企业炉次数据+原料/热化学数据</x:v>
      </x:c>
      <x:c r="AE58" s="73" t="str">
        <x:v>解析解/手算样例/边界值单元测试</x:v>
      </x:c>
      <x:c r="AF58" s="73" t="str">
        <x:v>仅存在于规划清单；不得计入当前可调用工具数。</x:v>
      </x:c>
    </x:row>
    <x:row r="59">
      <x:c r="A59" s="73" t="str">
        <x:v>D013</x:v>
      </x:c>
      <x:c r="B59" s="73" t="str">
        <x:v>转炉炼钢</x:v>
      </x:c>
      <x:c r="C59" s="73" t="str">
        <x:v>硅氧化平衡</x:v>
      </x:c>
      <x:c r="D59" s="73" t="str">
        <x:v>确定性公式/规则</x:v>
      </x:c>
      <x:c r="E59" s="73" t="str">
        <x:v>calc_silicon_oxidation</x:v>
      </x:c>
      <x:c r="F59" s="73"/>
      <x:c r="G59" s="73"/>
      <x:c r="H59" s="73" t="str">
        <x:v>not_implemented</x:v>
      </x:c>
      <x:c r="I59" s="73" t="str">
        <x:v>P1</x:v>
      </x:c>
      <x:c r="J59" s="73" t="str">
        <x:v>否</x:v>
      </x:c>
      <x:c r="K59" s="73" t="str">
        <x:v>氧化平衡+活度修正</x:v>
      </x:c>
      <x:c r="L59" s="73" t="str">
        <x:v>温度、渣钢组成、氧势</x:v>
      </x:c>
      <x:c r="M59" s="73" t="str">
        <x:v>平衡残余量、氧化量</x:v>
      </x:c>
      <x:c r="N59" s="73" t="str">
        <x:v>必须按转炉、炉龄、原料和钢种标定；预测/优化结果仅作辅助，超出训练分布需人工确认</x:v>
      </x:c>
      <x:c r="O59" s="73" t="str">
        <x:v>planned_unimplemented</x:v>
      </x:c>
      <x:c r="P59" s="73"/>
      <x:c r="Q59" s="73"/>
      <x:c r="R59" s="73"/>
      <x:c r="S59" s="73" t="str">
        <x:v>needs_family_review</x:v>
      </x:c>
      <x:c r="T59" s="73" t="str">
        <x:v>FG-06</x:v>
      </x:c>
      <x:c r="U59" s="73" t="str">
        <x:v>D012, D013</x:v>
      </x:c>
      <x:c r="V59" s="73" t="str">
        <x:v>not_used_for_tool_acceptance</x:v>
      </x:c>
      <x:c r="W59" s="73" t="str">
        <x:v>unreviewed</x:v>
      </x:c>
      <x:c r="X59" s="73"/>
      <x:c r="Y59" s="73" t="str">
        <x:f>IF(X59="接受",IF(O59="implemented_tested_unreviewed",IF(S59="provisionally_independent","候选可用","需先完成家族复审"),"缺少实现"),IF(X59="拒绝","排除","未审批"))</x:f>
        <x:v>未审批</x:v>
      </x:c>
      <x:c r="Z59" s="73"/>
      <x:c r="AA59" s="73"/>
      <x:c r="AB59" s="73"/>
      <x:c r="AC59" s="73" t="n">
        <x:v>59</x:v>
      </x:c>
      <x:c r="AD59" s="73" t="str">
        <x:v>DS042企业炉次数据+原料/热化学数据</x:v>
      </x:c>
      <x:c r="AE59" s="73" t="str">
        <x:v>解析解/手算样例/边界值单元测试</x:v>
      </x:c>
      <x:c r="AF59" s="73" t="str">
        <x:v>仅存在于规划清单；不得计入当前可调用工具数。</x:v>
      </x:c>
    </x:row>
    <x:row r="60">
      <x:c r="A60" s="73" t="str">
        <x:v>D014</x:v>
      </x:c>
      <x:c r="B60" s="73" t="str">
        <x:v>转炉炼钢</x:v>
      </x:c>
      <x:c r="C60" s="73" t="str">
        <x:v>TFe与铁损估算</x:v>
      </x:c>
      <x:c r="D60" s="73" t="str">
        <x:v>确定性公式/规则</x:v>
      </x:c>
      <x:c r="E60" s="73" t="str">
        <x:v>estimate_tfe_and_iron_loss</x:v>
      </x:c>
      <x:c r="F60" s="73"/>
      <x:c r="G60" s="73"/>
      <x:c r="H60" s="73" t="str">
        <x:v>not_implemented</x:v>
      </x:c>
      <x:c r="I60" s="73" t="str">
        <x:v>P1</x:v>
      </x:c>
      <x:c r="J60" s="73" t="str">
        <x:v>否</x:v>
      </x:c>
      <x:c r="K60" s="73" t="str">
        <x:v>铁氧化物平衡+渣铁收支</x:v>
      </x:c>
      <x:c r="L60" s="73" t="str">
        <x:v>渣量、渣成分、钢水收得率</x:v>
      </x:c>
      <x:c r="M60" s="73" t="str">
        <x:v>TFe、铁损、经济损失</x:v>
      </x:c>
      <x:c r="N60" s="73" t="str">
        <x:v>必须按转炉、炉龄、原料和钢种标定；预测/优化结果仅作辅助，超出训练分布需人工确认</x:v>
      </x:c>
      <x:c r="O60" s="73" t="str">
        <x:v>planned_unimplemented</x:v>
      </x:c>
      <x:c r="P60" s="73"/>
      <x:c r="Q60" s="73"/>
      <x:c r="R60" s="73"/>
      <x:c r="S60" s="73" t="str">
        <x:v>provisionally_independent</x:v>
      </x:c>
      <x:c r="T60" s="73"/>
      <x:c r="U60" s="73" t="str"/>
      <x:c r="V60" s="73" t="str">
        <x:v>not_used_for_tool_acceptance</x:v>
      </x:c>
      <x:c r="W60" s="73" t="str">
        <x:v>unreviewed</x:v>
      </x:c>
      <x:c r="X60" s="73"/>
      <x:c r="Y60" s="73" t="str">
        <x:f>IF(X60="接受",IF(O60="implemented_tested_unreviewed",IF(S60="provisionally_independent","候选可用","需先完成家族复审"),"缺少实现"),IF(X60="拒绝","排除","未审批"))</x:f>
        <x:v>未审批</x:v>
      </x:c>
      <x:c r="Z60" s="73"/>
      <x:c r="AA60" s="73"/>
      <x:c r="AB60" s="73"/>
      <x:c r="AC60" s="73" t="n">
        <x:v>60</x:v>
      </x:c>
      <x:c r="AD60" s="73" t="str">
        <x:v>DS042企业炉次数据+原料/热化学数据</x:v>
      </x:c>
      <x:c r="AE60" s="73" t="str">
        <x:v>解析解/手算样例/边界值单元测试</x:v>
      </x:c>
      <x:c r="AF60" s="73" t="str">
        <x:v>仅存在于规划清单；不得计入当前可调用工具数。</x:v>
      </x:c>
    </x:row>
    <x:row r="61">
      <x:c r="A61" s="73" t="str">
        <x:v>D015</x:v>
      </x:c>
      <x:c r="B61" s="73" t="str">
        <x:v>转炉炼钢</x:v>
      </x:c>
      <x:c r="C61" s="73" t="str">
        <x:v>炉气生成量</x:v>
      </x:c>
      <x:c r="D61" s="73" t="str">
        <x:v>确定性公式/规则</x:v>
      </x:c>
      <x:c r="E61" s="73" t="str">
        <x:v>calc_bof_offgas_volume</x:v>
      </x:c>
      <x:c r="F61" s="73"/>
      <x:c r="G61" s="73"/>
      <x:c r="H61" s="73" t="str">
        <x:v>not_implemented</x:v>
      </x:c>
      <x:c r="I61" s="73" t="str">
        <x:v>P2</x:v>
      </x:c>
      <x:c r="J61" s="73" t="str">
        <x:v>否</x:v>
      </x:c>
      <x:c r="K61" s="73" t="str">
        <x:v>CO/CO2生成化学计量与状态方程</x:v>
      </x:c>
      <x:c r="L61" s="73" t="str">
        <x:v>脱碳量、后燃比、温压</x:v>
      </x:c>
      <x:c r="M61" s="73" t="str">
        <x:v>炉气体积、组成、流量曲线</x:v>
      </x:c>
      <x:c r="N61" s="73" t="str">
        <x:v>必须按转炉、炉龄、原料和钢种标定；预测/优化结果仅作辅助，超出训练分布需人工确认</x:v>
      </x:c>
      <x:c r="O61" s="73" t="str">
        <x:v>planned_unimplemented</x:v>
      </x:c>
      <x:c r="P61" s="73"/>
      <x:c r="Q61" s="73"/>
      <x:c r="R61" s="73"/>
      <x:c r="S61" s="73" t="str">
        <x:v>provisionally_independent</x:v>
      </x:c>
      <x:c r="T61" s="73"/>
      <x:c r="U61" s="73" t="str"/>
      <x:c r="V61" s="73" t="str">
        <x:v>not_used_for_tool_acceptance</x:v>
      </x:c>
      <x:c r="W61" s="73" t="str">
        <x:v>unreviewed</x:v>
      </x:c>
      <x:c r="X61" s="73"/>
      <x:c r="Y61" s="73" t="str">
        <x:f>IF(X61="接受",IF(O61="implemented_tested_unreviewed",IF(S61="provisionally_independent","候选可用","需先完成家族复审"),"缺少实现"),IF(X61="拒绝","排除","未审批"))</x:f>
        <x:v>未审批</x:v>
      </x:c>
      <x:c r="Z61" s="73"/>
      <x:c r="AA61" s="73"/>
      <x:c r="AB61" s="73"/>
      <x:c r="AC61" s="73" t="n">
        <x:v>61</x:v>
      </x:c>
      <x:c r="AD61" s="73" t="str">
        <x:v>DS042企业炉次数据+原料/热化学数据</x:v>
      </x:c>
      <x:c r="AE61" s="73" t="str">
        <x:v>解析解/手算样例/边界值单元测试</x:v>
      </x:c>
      <x:c r="AF61" s="73" t="str">
        <x:v>仅存在于规划清单；不得计入当前可调用工具数。</x:v>
      </x:c>
    </x:row>
    <x:row r="62">
      <x:c r="A62" s="73" t="str">
        <x:v>D016</x:v>
      </x:c>
      <x:c r="B62" s="73" t="str">
        <x:v>转炉炼钢</x:v>
      </x:c>
      <x:c r="C62" s="73" t="str">
        <x:v>氧利用率计算</x:v>
      </x:c>
      <x:c r="D62" s="73" t="str">
        <x:v>确定性公式/规则</x:v>
      </x:c>
      <x:c r="E62" s="73" t="str">
        <x:v>calc_oxygen_utilization</x:v>
      </x:c>
      <x:c r="F62" s="73"/>
      <x:c r="G62" s="73"/>
      <x:c r="H62" s="73" t="str">
        <x:v>not_implemented</x:v>
      </x:c>
      <x:c r="I62" s="73" t="str">
        <x:v>P2</x:v>
      </x:c>
      <x:c r="J62" s="73" t="str">
        <x:v>否</x:v>
      </x:c>
      <x:c r="K62" s="73" t="str">
        <x:v>理论耗氧与实际供氧比</x:v>
      </x:c>
      <x:c r="L62" s="73" t="str">
        <x:v>实际氧量、氧化产物、炉气</x:v>
      </x:c>
      <x:c r="M62" s="73" t="str">
        <x:v>氧利用率、分项损失</x:v>
      </x:c>
      <x:c r="N62" s="73" t="str">
        <x:v>必须按转炉、炉龄、原料和钢种标定；预测/优化结果仅作辅助，超出训练分布需人工确认</x:v>
      </x:c>
      <x:c r="O62" s="73" t="str">
        <x:v>planned_unimplemented</x:v>
      </x:c>
      <x:c r="P62" s="73"/>
      <x:c r="Q62" s="73"/>
      <x:c r="R62" s="73"/>
      <x:c r="S62" s="73" t="str">
        <x:v>provisionally_independent</x:v>
      </x:c>
      <x:c r="T62" s="73"/>
      <x:c r="U62" s="73" t="str"/>
      <x:c r="V62" s="73" t="str">
        <x:v>not_used_for_tool_acceptance</x:v>
      </x:c>
      <x:c r="W62" s="73" t="str">
        <x:v>unreviewed</x:v>
      </x:c>
      <x:c r="X62" s="73"/>
      <x:c r="Y62" s="73" t="str">
        <x:f>IF(X62="接受",IF(O62="implemented_tested_unreviewed",IF(S62="provisionally_independent","候选可用","需先完成家族复审"),"缺少实现"),IF(X62="拒绝","排除","未审批"))</x:f>
        <x:v>未审批</x:v>
      </x:c>
      <x:c r="Z62" s="73"/>
      <x:c r="AA62" s="73"/>
      <x:c r="AB62" s="73"/>
      <x:c r="AC62" s="73" t="n">
        <x:v>62</x:v>
      </x:c>
      <x:c r="AD62" s="73" t="str">
        <x:v>DS042企业炉次数据+原料/热化学数据</x:v>
      </x:c>
      <x:c r="AE62" s="73" t="str">
        <x:v>解析解/手算样例/边界值单元测试</x:v>
      </x:c>
      <x:c r="AF62" s="73" t="str">
        <x:v>仅存在于规划清单；不得计入当前可调用工具数。</x:v>
      </x:c>
    </x:row>
    <x:row r="63">
      <x:c r="A63" s="73" t="str">
        <x:v>D017</x:v>
      </x:c>
      <x:c r="B63" s="73" t="str">
        <x:v>转炉炼钢</x:v>
      </x:c>
      <x:c r="C63" s="73" t="str">
        <x:v>氧枪枪位推荐</x:v>
      </x:c>
      <x:c r="D63" s="73" t="str">
        <x:v>推荐模型</x:v>
      </x:c>
      <x:c r="E63" s="73" t="str">
        <x:v>recommend_lance_height</x:v>
      </x:c>
      <x:c r="F63" s="73"/>
      <x:c r="G63" s="73"/>
      <x:c r="H63" s="73" t="str">
        <x:v>not_implemented</x:v>
      </x:c>
      <x:c r="I63" s="73" t="str">
        <x:v>P2</x:v>
      </x:c>
      <x:c r="J63" s="73" t="str">
        <x:v>可选</x:v>
      </x:c>
      <x:c r="K63" s="73" t="str">
        <x:v>规则库+历史最优炉次相似检索</x:v>
      </x:c>
      <x:c r="L63" s="73" t="str">
        <x:v>炉龄、熔池、供氧阶段、炉气/喷溅信号</x:v>
      </x:c>
      <x:c r="M63" s="73" t="str">
        <x:v>枪位区间、理由、风险</x:v>
      </x:c>
      <x:c r="N63" s="73" t="str">
        <x:v>必须按转炉、炉龄、原料和钢种标定；预测/优化结果仅作辅助，超出训练分布需人工确认</x:v>
      </x:c>
      <x:c r="O63" s="73" t="str">
        <x:v>planned_unimplemented</x:v>
      </x:c>
      <x:c r="P63" s="73"/>
      <x:c r="Q63" s="73"/>
      <x:c r="R63" s="73"/>
      <x:c r="S63" s="73" t="str">
        <x:v>provisionally_independent</x:v>
      </x:c>
      <x:c r="T63" s="73"/>
      <x:c r="U63" s="73" t="str"/>
      <x:c r="V63" s="73" t="str">
        <x:v>not_used_for_tool_acceptance</x:v>
      </x:c>
      <x:c r="W63" s="73" t="str">
        <x:v>unreviewed</x:v>
      </x:c>
      <x:c r="X63" s="73"/>
      <x:c r="Y63" s="73" t="str">
        <x:f>IF(X63="接受",IF(O63="implemented_tested_unreviewed",IF(S63="provisionally_independent","候选可用","需先完成家族复审"),"缺少实现"),IF(X63="拒绝","排除","未审批"))</x:f>
        <x:v>未审批</x:v>
      </x:c>
      <x:c r="Z63" s="73"/>
      <x:c r="AA63" s="73"/>
      <x:c r="AB63" s="73"/>
      <x:c r="AC63" s="73" t="n">
        <x:v>63</x:v>
      </x:c>
      <x:c r="AD63" s="73" t="str">
        <x:v>DS042企业炉次数据+原料/热化学数据</x:v>
      </x:c>
      <x:c r="AE63" s="73" t="str">
        <x:v>解析解/手算样例/边界值单元测试</x:v>
      </x:c>
      <x:c r="AF63" s="73" t="str">
        <x:v>仅存在于规划清单；不得计入当前可调用工具数。</x:v>
      </x:c>
    </x:row>
    <x:row r="64">
      <x:c r="A64" s="73" t="str">
        <x:v>D018</x:v>
      </x:c>
      <x:c r="B64" s="73" t="str">
        <x:v>转炉炼钢</x:v>
      </x:c>
      <x:c r="C64" s="73" t="str">
        <x:v>吹氧制度优化</x:v>
      </x:c>
      <x:c r="D64" s="73" t="str">
        <x:v>约束优化</x:v>
      </x:c>
      <x:c r="E64" s="73" t="str">
        <x:v>optimize_blowing_schedule</x:v>
      </x:c>
      <x:c r="F64" s="73"/>
      <x:c r="G64" s="73"/>
      <x:c r="H64" s="73" t="str">
        <x:v>not_implemented</x:v>
      </x:c>
      <x:c r="I64" s="73" t="str">
        <x:v>P2</x:v>
      </x:c>
      <x:c r="J64" s="73" t="str">
        <x:v>否</x:v>
      </x:c>
      <x:c r="K64" s="73" t="str">
        <x:v>分段供氧/枪位非线性或动态优化</x:v>
      </x:c>
      <x:c r="L64" s="73" t="str">
        <x:v>目标C/T/P、装料、设备约束</x:v>
      </x:c>
      <x:c r="M64" s="73" t="str">
        <x:v>供氧曲线、枪位曲线、预计指标</x:v>
      </x:c>
      <x:c r="N64" s="73" t="str">
        <x:v>必须按转炉、炉龄、原料和钢种标定；预测/优化结果仅作辅助，超出训练分布需人工确认</x:v>
      </x:c>
      <x:c r="O64" s="73" t="str">
        <x:v>planned_unimplemented</x:v>
      </x:c>
      <x:c r="P64" s="73"/>
      <x:c r="Q64" s="73"/>
      <x:c r="R64" s="73"/>
      <x:c r="S64" s="73" t="str">
        <x:v>provisionally_independent</x:v>
      </x:c>
      <x:c r="T64" s="73"/>
      <x:c r="U64" s="73" t="str"/>
      <x:c r="V64" s="73" t="str">
        <x:v>not_used_for_tool_acceptance</x:v>
      </x:c>
      <x:c r="W64" s="73" t="str">
        <x:v>unreviewed</x:v>
      </x:c>
      <x:c r="X64" s="73"/>
      <x:c r="Y64" s="73" t="str">
        <x:f>IF(X64="接受",IF(O64="implemented_tested_unreviewed",IF(S64="provisionally_independent","候选可用","需先完成家族复审"),"缺少实现"),IF(X64="拒绝","排除","未审批"))</x:f>
        <x:v>未审批</x:v>
      </x:c>
      <x:c r="Z64" s="73"/>
      <x:c r="AA64" s="73"/>
      <x:c r="AB64" s="73"/>
      <x:c r="AC64" s="73" t="n">
        <x:v>64</x:v>
      </x:c>
      <x:c r="AD64" s="73" t="str">
        <x:v>DS042企业炉次数据+原料/热化学数据</x:v>
      </x:c>
      <x:c r="AE64" s="73" t="str">
        <x:v>解析解/手算样例/边界值单元测试</x:v>
      </x:c>
      <x:c r="AF64" s="73" t="str">
        <x:v>仅存在于规划清单；不得计入当前可调用工具数。</x:v>
      </x:c>
    </x:row>
    <x:row r="65">
      <x:c r="A65" s="73" t="str">
        <x:v>D019</x:v>
      </x:c>
      <x:c r="B65" s="73" t="str">
        <x:v>转炉炼钢</x:v>
      </x:c>
      <x:c r="C65" s="73" t="str">
        <x:v>合金加入优化</x:v>
      </x:c>
      <x:c r="D65" s="73" t="str">
        <x:v>约束优化</x:v>
      </x:c>
      <x:c r="E65" s="73" t="str">
        <x:v>optimize_alloy_additions</x:v>
      </x:c>
      <x:c r="F65" s="73"/>
      <x:c r="G65" s="73"/>
      <x:c r="H65" s="73" t="str">
        <x:v>not_implemented</x:v>
      </x:c>
      <x:c r="I65" s="73" t="str">
        <x:v>P2</x:v>
      </x:c>
      <x:c r="J65" s="73" t="str">
        <x:v>否</x:v>
      </x:c>
      <x:c r="K65" s="73" t="str">
        <x:v>线性/混合整数最小成本配料</x:v>
      </x:c>
      <x:c r="L65" s="73" t="str">
        <x:v>钢水成分、目标规格、合金成分/价格/收得率</x:v>
      </x:c>
      <x:c r="M65" s="73" t="str">
        <x:v>合金加入方案、成本、约束余量</x:v>
      </x:c>
      <x:c r="N65" s="73" t="str">
        <x:v>必须按转炉、炉龄、原料和钢种标定；预测/优化结果仅作辅助，超出训练分布需人工确认</x:v>
      </x:c>
      <x:c r="O65" s="73" t="str">
        <x:v>planned_unimplemented</x:v>
      </x:c>
      <x:c r="P65" s="73"/>
      <x:c r="Q65" s="73"/>
      <x:c r="R65" s="73"/>
      <x:c r="S65" s="73" t="str">
        <x:v>provisionally_independent</x:v>
      </x:c>
      <x:c r="T65" s="73"/>
      <x:c r="U65" s="73" t="str"/>
      <x:c r="V65" s="73" t="str">
        <x:v>not_used_for_tool_acceptance</x:v>
      </x:c>
      <x:c r="W65" s="73" t="str">
        <x:v>unreviewed</x:v>
      </x:c>
      <x:c r="X65" s="73"/>
      <x:c r="Y65" s="73" t="str">
        <x:f>IF(X65="接受",IF(O65="implemented_tested_unreviewed",IF(S65="provisionally_independent","候选可用","需先完成家族复审"),"缺少实现"),IF(X65="拒绝","排除","未审批"))</x:f>
        <x:v>未审批</x:v>
      </x:c>
      <x:c r="Z65" s="73"/>
      <x:c r="AA65" s="73"/>
      <x:c r="AB65" s="73"/>
      <x:c r="AC65" s="73" t="n">
        <x:v>65</x:v>
      </x:c>
      <x:c r="AD65" s="73" t="str">
        <x:v>DS042企业炉次数据+原料/热化学数据</x:v>
      </x:c>
      <x:c r="AE65" s="73" t="str">
        <x:v>解析解/手算样例/边界值单元测试</x:v>
      </x:c>
      <x:c r="AF65" s="73" t="str">
        <x:v>仅存在于规划清单；不得计入当前可调用工具数。</x:v>
      </x:c>
    </x:row>
    <x:row r="66">
      <x:c r="A66" s="73" t="str">
        <x:v>D020</x:v>
      </x:c>
      <x:c r="B66" s="73" t="str">
        <x:v>转炉炼钢</x:v>
      </x:c>
      <x:c r="C66" s="73" t="str">
        <x:v>冷却剂/废钢加入优化</x:v>
      </x:c>
      <x:c r="D66" s="73" t="str">
        <x:v>约束优化</x:v>
      </x:c>
      <x:c r="E66" s="73" t="str">
        <x:v>optimize_coolant_scrap_addition</x:v>
      </x:c>
      <x:c r="F66" s="73"/>
      <x:c r="G66" s="73"/>
      <x:c r="H66" s="73" t="str">
        <x:v>not_implemented</x:v>
      </x:c>
      <x:c r="I66" s="73" t="str">
        <x:v>P2</x:v>
      </x:c>
      <x:c r="J66" s="73" t="str">
        <x:v>否</x:v>
      </x:c>
      <x:c r="K66" s="73" t="str">
        <x:v>热平衡约束下最小成本/最小波动优化</x:v>
      </x:c>
      <x:c r="L66" s="73" t="str">
        <x:v>热状态、废钢/矿石/冷却剂属性</x:v>
      </x:c>
      <x:c r="M66" s="73" t="str">
        <x:v>加入量、终温区间、成本</x:v>
      </x:c>
      <x:c r="N66" s="73" t="str">
        <x:v>必须按转炉、炉龄、原料和钢种标定；预测/优化结果仅作辅助，超出训练分布需人工确认</x:v>
      </x:c>
      <x:c r="O66" s="73" t="str">
        <x:v>planned_unimplemented</x:v>
      </x:c>
      <x:c r="P66" s="73"/>
      <x:c r="Q66" s="73"/>
      <x:c r="R66" s="73"/>
      <x:c r="S66" s="73" t="str">
        <x:v>provisionally_independent</x:v>
      </x:c>
      <x:c r="T66" s="73"/>
      <x:c r="U66" s="73" t="str"/>
      <x:c r="V66" s="73" t="str">
        <x:v>not_used_for_tool_acceptance</x:v>
      </x:c>
      <x:c r="W66" s="73" t="str">
        <x:v>unreviewed</x:v>
      </x:c>
      <x:c r="X66" s="73"/>
      <x:c r="Y66" s="73" t="str">
        <x:f>IF(X66="接受",IF(O66="implemented_tested_unreviewed",IF(S66="provisionally_independent","候选可用","需先完成家族复审"),"缺少实现"),IF(X66="拒绝","排除","未审批"))</x:f>
        <x:v>未审批</x:v>
      </x:c>
      <x:c r="Z66" s="73"/>
      <x:c r="AA66" s="73"/>
      <x:c r="AB66" s="73"/>
      <x:c r="AC66" s="73" t="n">
        <x:v>66</x:v>
      </x:c>
      <x:c r="AD66" s="73" t="str">
        <x:v>DS042企业炉次数据+原料/热化学数据</x:v>
      </x:c>
      <x:c r="AE66" s="73" t="str">
        <x:v>解析解/手算样例/边界值单元测试</x:v>
      </x:c>
      <x:c r="AF66" s="73" t="str">
        <x:v>仅存在于规划清单；不得计入当前可调用工具数。</x:v>
      </x:c>
    </x:row>
    <x:row r="67">
      <x:c r="A67" s="73" t="str">
        <x:v>E001</x:v>
      </x:c>
      <x:c r="B67" s="73" t="str">
        <x:v>高炉低碳</x:v>
      </x:c>
      <x:c r="C67" s="73" t="str">
        <x:v>高炉炉料物料平衡</x:v>
      </x:c>
      <x:c r="D67" s="73" t="str">
        <x:v>确定性公式/规则</x:v>
      </x:c>
      <x:c r="E67" s="73" t="str">
        <x:v>balance_bf_burden</x:v>
      </x:c>
      <x:c r="F67" s="73"/>
      <x:c r="G67" s="73"/>
      <x:c r="H67" s="73" t="str">
        <x:v>not_implemented</x:v>
      </x:c>
      <x:c r="I67" s="73" t="str">
        <x:v>P0</x:v>
      </x:c>
      <x:c r="J67" s="73" t="str">
        <x:v>否</x:v>
      </x:c>
      <x:c r="K67" s="73" t="str">
        <x:v>矿、焦、煤、熔剂、热风、产品/炉渣/煤气总物料平衡</x:v>
      </x:c>
      <x:c r="L67" s="73" t="str">
        <x:v>炉料、产量、成分、煤气</x:v>
      </x:c>
      <x:c r="M67" s="73" t="str">
        <x:v>物流量、收率、闭合率</x:v>
      </x:c>
      <x:c r="N67" s="73" t="str">
        <x:v>高炉具有强时滞和炉况差异；模型必须绑定高炉、炉料制度、统计周期与碳核算边界</x:v>
      </x:c>
      <x:c r="O67" s="73" t="str">
        <x:v>planned_unimplemented</x:v>
      </x:c>
      <x:c r="P67" s="73"/>
      <x:c r="Q67" s="73"/>
      <x:c r="R67" s="73"/>
      <x:c r="S67" s="73" t="str">
        <x:v>provisionally_independent</x:v>
      </x:c>
      <x:c r="T67" s="73"/>
      <x:c r="U67" s="73" t="str"/>
      <x:c r="V67" s="73" t="str">
        <x:v>not_used_for_tool_acceptance</x:v>
      </x:c>
      <x:c r="W67" s="73" t="str">
        <x:v>unreviewed</x:v>
      </x:c>
      <x:c r="X67" s="73"/>
      <x:c r="Y67" s="73" t="str">
        <x:f>IF(X67="接受",IF(O67="implemented_tested_unreviewed",IF(S67="provisionally_independent","候选可用","需先完成家族复审"),"缺少实现"),IF(X67="拒绝","排除","未审批"))</x:f>
        <x:v>未审批</x:v>
      </x:c>
      <x:c r="Z67" s="73"/>
      <x:c r="AA67" s="73"/>
      <x:c r="AB67" s="73"/>
      <x:c r="AC67" s="73" t="n">
        <x:v>67</x:v>
      </x:c>
      <x:c r="AD67" s="73" t="str">
        <x:v>DS042高炉日/月数据+原料分析+能源/排放因子</x:v>
      </x:c>
      <x:c r="AE67" s="73" t="str">
        <x:v>解析解/手算样例/边界值单元测试</x:v>
      </x:c>
      <x:c r="AF67" s="73" t="str">
        <x:v>仅存在于规划清单；不得计入当前可调用工具数。</x:v>
      </x:c>
    </x:row>
    <x:row r="68">
      <x:c r="A68" s="73" t="str">
        <x:v>E002</x:v>
      </x:c>
      <x:c r="B68" s="73" t="str">
        <x:v>高炉低碳</x:v>
      </x:c>
      <x:c r="C68" s="73" t="str">
        <x:v>铁元素平衡与还原度</x:v>
      </x:c>
      <x:c r="D68" s="73" t="str">
        <x:v>确定性公式/规则</x:v>
      </x:c>
      <x:c r="E68" s="73" t="str">
        <x:v>calc_bf_iron_balance</x:v>
      </x:c>
      <x:c r="F68" s="73"/>
      <x:c r="G68" s="73"/>
      <x:c r="H68" s="73" t="str">
        <x:v>not_implemented</x:v>
      </x:c>
      <x:c r="I68" s="73" t="str">
        <x:v>P0</x:v>
      </x:c>
      <x:c r="J68" s="73" t="str">
        <x:v>否</x:v>
      </x:c>
      <x:c r="K68" s="73" t="str">
        <x:v>铁收支与直接/间接还原分解</x:v>
      </x:c>
      <x:c r="L68" s="73" t="str">
        <x:v>炉料铁量、铁水/渣/尘</x:v>
      </x:c>
      <x:c r="M68" s="73" t="str">
        <x:v>铁收得率、还原度、损失</x:v>
      </x:c>
      <x:c r="N68" s="73" t="str">
        <x:v>高炉具有强时滞和炉况差异；模型必须绑定高炉、炉料制度、统计周期与碳核算边界</x:v>
      </x:c>
      <x:c r="O68" s="73" t="str">
        <x:v>planned_unimplemented</x:v>
      </x:c>
      <x:c r="P68" s="73"/>
      <x:c r="Q68" s="73"/>
      <x:c r="R68" s="73"/>
      <x:c r="S68" s="73" t="str">
        <x:v>provisionally_independent</x:v>
      </x:c>
      <x:c r="T68" s="73"/>
      <x:c r="U68" s="73" t="str"/>
      <x:c r="V68" s="73" t="str">
        <x:v>not_used_for_tool_acceptance</x:v>
      </x:c>
      <x:c r="W68" s="73" t="str">
        <x:v>unreviewed</x:v>
      </x:c>
      <x:c r="X68" s="73"/>
      <x:c r="Y68" s="73" t="str">
        <x:f>IF(X68="接受",IF(O68="implemented_tested_unreviewed",IF(S68="provisionally_independent","候选可用","需先完成家族复审"),"缺少实现"),IF(X68="拒绝","排除","未审批"))</x:f>
        <x:v>未审批</x:v>
      </x:c>
      <x:c r="Z68" s="73"/>
      <x:c r="AA68" s="73"/>
      <x:c r="AB68" s="73"/>
      <x:c r="AC68" s="73" t="n">
        <x:v>68</x:v>
      </x:c>
      <x:c r="AD68" s="73" t="str">
        <x:v>DS042高炉日/月数据+原料分析+能源/排放因子</x:v>
      </x:c>
      <x:c r="AE68" s="73" t="str">
        <x:v>解析解/手算样例/边界值单元测试</x:v>
      </x:c>
      <x:c r="AF68" s="73" t="str">
        <x:v>仅存在于规划清单；不得计入当前可调用工具数。</x:v>
      </x:c>
    </x:row>
    <x:row r="69">
      <x:c r="A69" s="73" t="str">
        <x:v>E003</x:v>
      </x:c>
      <x:c r="B69" s="73" t="str">
        <x:v>高炉低碳</x:v>
      </x:c>
      <x:c r="C69" s="73" t="str">
        <x:v>高炉碳平衡</x:v>
      </x:c>
      <x:c r="D69" s="73" t="str">
        <x:v>确定性公式/规则</x:v>
      </x:c>
      <x:c r="E69" s="73" t="str">
        <x:v>calc_bf_carbon_balance</x:v>
      </x:c>
      <x:c r="F69" s="73"/>
      <x:c r="G69" s="73"/>
      <x:c r="H69" s="73" t="str">
        <x:v>not_implemented</x:v>
      </x:c>
      <x:c r="I69" s="73" t="str">
        <x:v>P0</x:v>
      </x:c>
      <x:c r="J69" s="73" t="str">
        <x:v>否</x:v>
      </x:c>
      <x:c r="K69" s="73" t="str">
        <x:v>焦炭/煤/COG等碳输入输出平衡</x:v>
      </x:c>
      <x:c r="L69" s="73" t="str">
        <x:v>燃料、铁水C、顶煤气、粉尘</x:v>
      </x:c>
      <x:c r="M69" s="73" t="str">
        <x:v>碳去向、闭合率、单位碳耗</x:v>
      </x:c>
      <x:c r="N69" s="73" t="str">
        <x:v>高炉具有强时滞和炉况差异；模型必须绑定高炉、炉料制度、统计周期与碳核算边界</x:v>
      </x:c>
      <x:c r="O69" s="73" t="str">
        <x:v>planned_unimplemented</x:v>
      </x:c>
      <x:c r="P69" s="73"/>
      <x:c r="Q69" s="73"/>
      <x:c r="R69" s="73"/>
      <x:c r="S69" s="73" t="str">
        <x:v>provisionally_independent</x:v>
      </x:c>
      <x:c r="T69" s="73"/>
      <x:c r="U69" s="73" t="str"/>
      <x:c r="V69" s="73" t="str">
        <x:v>not_used_for_tool_acceptance</x:v>
      </x:c>
      <x:c r="W69" s="73" t="str">
        <x:v>unreviewed</x:v>
      </x:c>
      <x:c r="X69" s="73"/>
      <x:c r="Y69" s="73" t="str">
        <x:f>IF(X69="接受",IF(O69="implemented_tested_unreviewed",IF(S69="provisionally_independent","候选可用","需先完成家族复审"),"缺少实现"),IF(X69="拒绝","排除","未审批"))</x:f>
        <x:v>未审批</x:v>
      </x:c>
      <x:c r="Z69" s="73"/>
      <x:c r="AA69" s="73"/>
      <x:c r="AB69" s="73"/>
      <x:c r="AC69" s="73" t="n">
        <x:v>69</x:v>
      </x:c>
      <x:c r="AD69" s="73" t="str">
        <x:v>DS042高炉日/月数据+原料分析+能源/排放因子</x:v>
      </x:c>
      <x:c r="AE69" s="73" t="str">
        <x:v>解析解/手算样例/边界值单元测试</x:v>
      </x:c>
      <x:c r="AF69" s="73" t="str">
        <x:v>仅存在于规划清单；不得计入当前可调用工具数。</x:v>
      </x:c>
    </x:row>
    <x:row r="70">
      <x:c r="A70" s="73" t="str">
        <x:v>E004</x:v>
      </x:c>
      <x:c r="B70" s="73" t="str">
        <x:v>高炉低碳</x:v>
      </x:c>
      <x:c r="C70" s="73" t="str">
        <x:v>高炉氧平衡</x:v>
      </x:c>
      <x:c r="D70" s="73" t="str">
        <x:v>确定性公式/规则</x:v>
      </x:c>
      <x:c r="E70" s="73" t="str">
        <x:v>calc_bf_oxygen_balance</x:v>
      </x:c>
      <x:c r="F70" s="73"/>
      <x:c r="G70" s="73"/>
      <x:c r="H70" s="73" t="str">
        <x:v>not_implemented</x:v>
      </x:c>
      <x:c r="I70" s="73" t="str">
        <x:v>P0</x:v>
      </x:c>
      <x:c r="J70" s="73" t="str">
        <x:v>否</x:v>
      </x:c>
      <x:c r="K70" s="73" t="str">
        <x:v>鼓风/富氧/炉料氧输入输出平衡</x:v>
      </x:c>
      <x:c r="L70" s="73" t="str">
        <x:v>风量、富氧、炉料、煤气</x:v>
      </x:c>
      <x:c r="M70" s="73" t="str">
        <x:v>氧收支、间接还原指标</x:v>
      </x:c>
      <x:c r="N70" s="73" t="str">
        <x:v>高炉具有强时滞和炉况差异；模型必须绑定高炉、炉料制度、统计周期与碳核算边界</x:v>
      </x:c>
      <x:c r="O70" s="73" t="str">
        <x:v>planned_unimplemented</x:v>
      </x:c>
      <x:c r="P70" s="73"/>
      <x:c r="Q70" s="73"/>
      <x:c r="R70" s="73"/>
      <x:c r="S70" s="73" t="str">
        <x:v>provisionally_independent</x:v>
      </x:c>
      <x:c r="T70" s="73"/>
      <x:c r="U70" s="73" t="str"/>
      <x:c r="V70" s="73" t="str">
        <x:v>not_used_for_tool_acceptance</x:v>
      </x:c>
      <x:c r="W70" s="73" t="str">
        <x:v>unreviewed</x:v>
      </x:c>
      <x:c r="X70" s="73"/>
      <x:c r="Y70" s="73" t="str">
        <x:f>IF(X70="接受",IF(O70="implemented_tested_unreviewed",IF(S70="provisionally_independent","候选可用","需先完成家族复审"),"缺少实现"),IF(X70="拒绝","排除","未审批"))</x:f>
        <x:v>未审批</x:v>
      </x:c>
      <x:c r="Z70" s="73"/>
      <x:c r="AA70" s="73"/>
      <x:c r="AB70" s="73"/>
      <x:c r="AC70" s="73" t="n">
        <x:v>70</x:v>
      </x:c>
      <x:c r="AD70" s="73" t="str">
        <x:v>DS042高炉日/月数据+原料分析+能源/排放因子</x:v>
      </x:c>
      <x:c r="AE70" s="73" t="str">
        <x:v>解析解/手算样例/边界值单元测试</x:v>
      </x:c>
      <x:c r="AF70" s="73" t="str">
        <x:v>仅存在于规划清单；不得计入当前可调用工具数。</x:v>
      </x:c>
    </x:row>
    <x:row r="71">
      <x:c r="A71" s="73" t="str">
        <x:v>E005</x:v>
      </x:c>
      <x:c r="B71" s="73" t="str">
        <x:v>高炉低碳</x:v>
      </x:c>
      <x:c r="C71" s="73" t="str">
        <x:v>高炉氢平衡</x:v>
      </x:c>
      <x:c r="D71" s="73" t="str">
        <x:v>确定性公式/规则</x:v>
      </x:c>
      <x:c r="E71" s="73" t="str">
        <x:v>calc_bf_hydrogen_balance</x:v>
      </x:c>
      <x:c r="F71" s="73"/>
      <x:c r="G71" s="73"/>
      <x:c r="H71" s="73" t="str">
        <x:v>not_implemented</x:v>
      </x:c>
      <x:c r="I71" s="73" t="str">
        <x:v>P1</x:v>
      </x:c>
      <x:c r="J71" s="73" t="str">
        <x:v>否</x:v>
      </x:c>
      <x:c r="K71" s="73" t="str">
        <x:v>喷吹气/湿分/还原生成水的氢平衡</x:v>
      </x:c>
      <x:c r="L71" s="73" t="str">
        <x:v>氢源、顶煤气H2/H2O</x:v>
      </x:c>
      <x:c r="M71" s="73" t="str">
        <x:v>氢利用率、氢收支</x:v>
      </x:c>
      <x:c r="N71" s="73" t="str">
        <x:v>高炉具有强时滞和炉况差异；模型必须绑定高炉、炉料制度、统计周期与碳核算边界</x:v>
      </x:c>
      <x:c r="O71" s="73" t="str">
        <x:v>planned_unimplemented</x:v>
      </x:c>
      <x:c r="P71" s="73"/>
      <x:c r="Q71" s="73"/>
      <x:c r="R71" s="73"/>
      <x:c r="S71" s="73" t="str">
        <x:v>provisionally_independent</x:v>
      </x:c>
      <x:c r="T71" s="73"/>
      <x:c r="U71" s="73" t="str"/>
      <x:c r="V71" s="73" t="str">
        <x:v>not_used_for_tool_acceptance</x:v>
      </x:c>
      <x:c r="W71" s="73" t="str">
        <x:v>unreviewed</x:v>
      </x:c>
      <x:c r="X71" s="73"/>
      <x:c r="Y71" s="73" t="str">
        <x:f>IF(X71="接受",IF(O71="implemented_tested_unreviewed",IF(S71="provisionally_independent","候选可用","需先完成家族复审"),"缺少实现"),IF(X71="拒绝","排除","未审批"))</x:f>
        <x:v>未审批</x:v>
      </x:c>
      <x:c r="Z71" s="73"/>
      <x:c r="AA71" s="73"/>
      <x:c r="AB71" s="73"/>
      <x:c r="AC71" s="73" t="n">
        <x:v>71</x:v>
      </x:c>
      <x:c r="AD71" s="73" t="str">
        <x:v>DS042高炉日/月数据+原料分析+能源/排放因子</x:v>
      </x:c>
      <x:c r="AE71" s="73" t="str">
        <x:v>解析解/手算样例/边界值单元测试</x:v>
      </x:c>
      <x:c r="AF71" s="73" t="str">
        <x:v>仅存在于规划清单；不得计入当前可调用工具数。</x:v>
      </x:c>
    </x:row>
    <x:row r="72">
      <x:c r="A72" s="73" t="str">
        <x:v>E006</x:v>
      </x:c>
      <x:c r="B72" s="73" t="str">
        <x:v>高炉低碳</x:v>
      </x:c>
      <x:c r="C72" s="73" t="str">
        <x:v>Rist操作线</x:v>
      </x:c>
      <x:c r="D72" s="73" t="str">
        <x:v>确定性公式/规则</x:v>
      </x:c>
      <x:c r="E72" s="73" t="str">
        <x:v>calc_rist_operating_line</x:v>
      </x:c>
      <x:c r="F72" s="73"/>
      <x:c r="G72" s="73"/>
      <x:c r="H72" s="73" t="str">
        <x:v>not_implemented</x:v>
      </x:c>
      <x:c r="I72" s="73" t="str">
        <x:v>P1</x:v>
      </x:c>
      <x:c r="J72" s="73" t="str">
        <x:v>否</x:v>
      </x:c>
      <x:c r="K72" s="73" t="str">
        <x:v>Rist操作线与还原平衡</x:v>
      </x:c>
      <x:c r="L72" s="73" t="str">
        <x:v>炉料、顶煤气、燃料比、还原度</x:v>
      </x:c>
      <x:c r="M72" s="73" t="str">
        <x:v>操作线、理想点、直接还原度</x:v>
      </x:c>
      <x:c r="N72" s="73" t="str">
        <x:v>高炉具有强时滞和炉况差异；模型必须绑定高炉、炉料制度、统计周期与碳核算边界</x:v>
      </x:c>
      <x:c r="O72" s="73" t="str">
        <x:v>planned_unimplemented</x:v>
      </x:c>
      <x:c r="P72" s="73"/>
      <x:c r="Q72" s="73"/>
      <x:c r="R72" s="73"/>
      <x:c r="S72" s="73" t="str">
        <x:v>provisionally_independent</x:v>
      </x:c>
      <x:c r="T72" s="73"/>
      <x:c r="U72" s="73" t="str"/>
      <x:c r="V72" s="73" t="str">
        <x:v>not_used_for_tool_acceptance</x:v>
      </x:c>
      <x:c r="W72" s="73" t="str">
        <x:v>unreviewed</x:v>
      </x:c>
      <x:c r="X72" s="73"/>
      <x:c r="Y72" s="73" t="str">
        <x:f>IF(X72="接受",IF(O72="implemented_tested_unreviewed",IF(S72="provisionally_independent","候选可用","需先完成家族复审"),"缺少实现"),IF(X72="拒绝","排除","未审批"))</x:f>
        <x:v>未审批</x:v>
      </x:c>
      <x:c r="Z72" s="73"/>
      <x:c r="AA72" s="73"/>
      <x:c r="AB72" s="73"/>
      <x:c r="AC72" s="73" t="n">
        <x:v>72</x:v>
      </x:c>
      <x:c r="AD72" s="73" t="str">
        <x:v>DS042高炉日/月数据+原料分析+能源/排放因子</x:v>
      </x:c>
      <x:c r="AE72" s="73" t="str">
        <x:v>解析解/手算样例/边界值单元测试</x:v>
      </x:c>
      <x:c r="AF72" s="73" t="str">
        <x:v>仅存在于规划清单；不得计入当前可调用工具数。</x:v>
      </x:c>
    </x:row>
    <x:row r="73">
      <x:c r="A73" s="73" t="str">
        <x:v>E007</x:v>
      </x:c>
      <x:c r="B73" s="73" t="str">
        <x:v>高炉低碳</x:v>
      </x:c>
      <x:c r="C73" s="73" t="str">
        <x:v>高炉热平衡</x:v>
      </x:c>
      <x:c r="D73" s="73" t="str">
        <x:v>确定性公式/规则</x:v>
      </x:c>
      <x:c r="E73" s="73" t="str">
        <x:v>calc_bf_heat_balance</x:v>
      </x:c>
      <x:c r="F73" s="73"/>
      <x:c r="G73" s="73"/>
      <x:c r="H73" s="73" t="str">
        <x:v>not_implemented</x:v>
      </x:c>
      <x:c r="I73" s="73" t="str">
        <x:v>P1</x:v>
      </x:c>
      <x:c r="J73" s="73" t="str">
        <x:v>否</x:v>
      </x:c>
      <x:c r="K73" s="73" t="str">
        <x:v>高低温区热收支</x:v>
      </x:c>
      <x:c r="L73" s="73" t="str">
        <x:v>风温、燃料、炉料、产物温度、热损</x:v>
      </x:c>
      <x:c r="M73" s="73" t="str">
        <x:v>热需求、热收入、热效率</x:v>
      </x:c>
      <x:c r="N73" s="73" t="str">
        <x:v>高炉具有强时滞和炉况差异；模型必须绑定高炉、炉料制度、统计周期与碳核算边界</x:v>
      </x:c>
      <x:c r="O73" s="73" t="str">
        <x:v>planned_unimplemented</x:v>
      </x:c>
      <x:c r="P73" s="73"/>
      <x:c r="Q73" s="73"/>
      <x:c r="R73" s="73"/>
      <x:c r="S73" s="73" t="str">
        <x:v>provisionally_independent</x:v>
      </x:c>
      <x:c r="T73" s="73"/>
      <x:c r="U73" s="73" t="str"/>
      <x:c r="V73" s="73" t="str">
        <x:v>not_used_for_tool_acceptance</x:v>
      </x:c>
      <x:c r="W73" s="73" t="str">
        <x:v>unreviewed</x:v>
      </x:c>
      <x:c r="X73" s="73"/>
      <x:c r="Y73" s="73" t="str">
        <x:f>IF(X73="接受",IF(O73="implemented_tested_unreviewed",IF(S73="provisionally_independent","候选可用","需先完成家族复审"),"缺少实现"),IF(X73="拒绝","排除","未审批"))</x:f>
        <x:v>未审批</x:v>
      </x:c>
      <x:c r="Z73" s="73"/>
      <x:c r="AA73" s="73"/>
      <x:c r="AB73" s="73"/>
      <x:c r="AC73" s="73" t="n">
        <x:v>73</x:v>
      </x:c>
      <x:c r="AD73" s="73" t="str">
        <x:v>DS042高炉日/月数据+原料分析+能源/排放因子</x:v>
      </x:c>
      <x:c r="AE73" s="73" t="str">
        <x:v>解析解/手算样例/边界值单元测试</x:v>
      </x:c>
      <x:c r="AF73" s="73" t="str">
        <x:v>仅存在于规划清单；不得计入当前可调用工具数。</x:v>
      </x:c>
    </x:row>
    <x:row r="74">
      <x:c r="A74" s="73" t="str">
        <x:v>E008</x:v>
      </x:c>
      <x:c r="B74" s="73" t="str">
        <x:v>高炉低碳</x:v>
      </x:c>
      <x:c r="C74" s="73" t="str">
        <x:v>焦比估算</x:v>
      </x:c>
      <x:c r="D74" s="73" t="str">
        <x:v>经验/混合模型</x:v>
      </x:c>
      <x:c r="E74" s="73" t="str">
        <x:v>estimate_coke_rate</x:v>
      </x:c>
      <x:c r="F74" s="73"/>
      <x:c r="G74" s="73"/>
      <x:c r="H74" s="73" t="str">
        <x:v>not_implemented</x:v>
      </x:c>
      <x:c r="I74" s="73" t="str">
        <x:v>P1</x:v>
      </x:c>
      <x:c r="J74" s="73" t="str">
        <x:v>可选</x:v>
      </x:c>
      <x:c r="K74" s="73" t="str">
        <x:v>物料热平衡+回归校正</x:v>
      </x:c>
      <x:c r="L74" s="73" t="str">
        <x:v>炉况、风温、喷煤、炉料、目标产量</x:v>
      </x:c>
      <x:c r="M74" s="73" t="str">
        <x:v>焦比、区间、影响因素</x:v>
      </x:c>
      <x:c r="N74" s="73" t="str">
        <x:v>高炉具有强时滞和炉况差异；模型必须绑定高炉、炉料制度、统计周期与碳核算边界</x:v>
      </x:c>
      <x:c r="O74" s="73" t="str">
        <x:v>planned_unimplemented</x:v>
      </x:c>
      <x:c r="P74" s="73"/>
      <x:c r="Q74" s="73"/>
      <x:c r="R74" s="73"/>
      <x:c r="S74" s="73" t="str">
        <x:v>provisionally_independent</x:v>
      </x:c>
      <x:c r="T74" s="73"/>
      <x:c r="U74" s="73" t="str"/>
      <x:c r="V74" s="73" t="str">
        <x:v>not_used_for_tool_acceptance</x:v>
      </x:c>
      <x:c r="W74" s="73" t="str">
        <x:v>unreviewed</x:v>
      </x:c>
      <x:c r="X74" s="73"/>
      <x:c r="Y74" s="73" t="str">
        <x:f>IF(X74="接受",IF(O74="implemented_tested_unreviewed",IF(S74="provisionally_independent","候选可用","需先完成家族复审"),"缺少实现"),IF(X74="拒绝","排除","未审批"))</x:f>
        <x:v>未审批</x:v>
      </x:c>
      <x:c r="Z74" s="73"/>
      <x:c r="AA74" s="73"/>
      <x:c r="AB74" s="73"/>
      <x:c r="AC74" s="73" t="n">
        <x:v>74</x:v>
      </x:c>
      <x:c r="AD74" s="73" t="str">
        <x:v>DS042高炉日/月数据+原料分析+能源/排放因子</x:v>
      </x:c>
      <x:c r="AE74" s="73" t="str">
        <x:v>解析解/手算样例/边界值单元测试</x:v>
      </x:c>
      <x:c r="AF74" s="73" t="str">
        <x:v>仅存在于规划清单；不得计入当前可调用工具数。</x:v>
      </x:c>
    </x:row>
    <x:row r="75">
      <x:c r="A75" s="73" t="str">
        <x:v>E009</x:v>
      </x:c>
      <x:c r="B75" s="73" t="str">
        <x:v>高炉低碳</x:v>
      </x:c>
      <x:c r="C75" s="73" t="str">
        <x:v>喷煤等效替代</x:v>
      </x:c>
      <x:c r="D75" s="73" t="str">
        <x:v>确定性公式/规则</x:v>
      </x:c>
      <x:c r="E75" s="73" t="str">
        <x:v>calc_pci_replacement_ratio</x:v>
      </x:c>
      <x:c r="F75" s="73"/>
      <x:c r="G75" s="73"/>
      <x:c r="H75" s="73" t="str">
        <x:v>not_implemented</x:v>
      </x:c>
      <x:c r="I75" s="73" t="str">
        <x:v>P1</x:v>
      </x:c>
      <x:c r="J75" s="73" t="str">
        <x:v>否</x:v>
      </x:c>
      <x:c r="K75" s="73" t="str">
        <x:v>固定碳/热值/置换比经验模型</x:v>
      </x:c>
      <x:c r="L75" s="73" t="str">
        <x:v>煤/焦性质、喷煤量、炉况</x:v>
      </x:c>
      <x:c r="M75" s="73" t="str">
        <x:v>等效焦炭替代量、边际收益</x:v>
      </x:c>
      <x:c r="N75" s="73" t="str">
        <x:v>高炉具有强时滞和炉况差异；模型必须绑定高炉、炉料制度、统计周期与碳核算边界</x:v>
      </x:c>
      <x:c r="O75" s="73" t="str">
        <x:v>planned_unimplemented</x:v>
      </x:c>
      <x:c r="P75" s="73"/>
      <x:c r="Q75" s="73"/>
      <x:c r="R75" s="73"/>
      <x:c r="S75" s="73" t="str">
        <x:v>provisionally_independent</x:v>
      </x:c>
      <x:c r="T75" s="73"/>
      <x:c r="U75" s="73" t="str"/>
      <x:c r="V75" s="73" t="str">
        <x:v>not_used_for_tool_acceptance</x:v>
      </x:c>
      <x:c r="W75" s="73" t="str">
        <x:v>unreviewed</x:v>
      </x:c>
      <x:c r="X75" s="73"/>
      <x:c r="Y75" s="73" t="str">
        <x:f>IF(X75="接受",IF(O75="implemented_tested_unreviewed",IF(S75="provisionally_independent","候选可用","需先完成家族复审"),"缺少实现"),IF(X75="拒绝","排除","未审批"))</x:f>
        <x:v>未审批</x:v>
      </x:c>
      <x:c r="Z75" s="73"/>
      <x:c r="AA75" s="73"/>
      <x:c r="AB75" s="73"/>
      <x:c r="AC75" s="73" t="n">
        <x:v>75</x:v>
      </x:c>
      <x:c r="AD75" s="73" t="str">
        <x:v>DS042高炉日/月数据+原料分析+能源/排放因子</x:v>
      </x:c>
      <x:c r="AE75" s="73" t="str">
        <x:v>解析解/手算样例/边界值单元测试</x:v>
      </x:c>
      <x:c r="AF75" s="73" t="str">
        <x:v>仅存在于规划清单；不得计入当前可调用工具数。</x:v>
      </x:c>
    </x:row>
    <x:row r="76">
      <x:c r="A76" s="73" t="str">
        <x:v>E010</x:v>
      </x:c>
      <x:c r="B76" s="73" t="str">
        <x:v>高炉低碳</x:v>
      </x:c>
      <x:c r="C76" s="73" t="str">
        <x:v>炉顶煤气组成</x:v>
      </x:c>
      <x:c r="D76" s="73" t="str">
        <x:v>确定性公式/规则</x:v>
      </x:c>
      <x:c r="E76" s="73" t="str">
        <x:v>calc_top_gas_composition</x:v>
      </x:c>
      <x:c r="F76" s="73"/>
      <x:c r="G76" s="73"/>
      <x:c r="H76" s="73" t="str">
        <x:v>not_implemented</x:v>
      </x:c>
      <x:c r="I76" s="73" t="str">
        <x:v>P1</x:v>
      </x:c>
      <x:c r="J76" s="73" t="str">
        <x:v>否</x:v>
      </x:c>
      <x:c r="K76" s="73" t="str">
        <x:v>C/O/H/N平衡与反应平衡</x:v>
      </x:c>
      <x:c r="L76" s="73" t="str">
        <x:v>风量、燃料、还原度、湿分</x:v>
      </x:c>
      <x:c r="M76" s="73" t="str">
        <x:v>CO/CO2/H2/N2组成与体积</x:v>
      </x:c>
      <x:c r="N76" s="73" t="str">
        <x:v>高炉具有强时滞和炉况差异；模型必须绑定高炉、炉料制度、统计周期与碳核算边界</x:v>
      </x:c>
      <x:c r="O76" s="73" t="str">
        <x:v>planned_unimplemented</x:v>
      </x:c>
      <x:c r="P76" s="73"/>
      <x:c r="Q76" s="73"/>
      <x:c r="R76" s="73"/>
      <x:c r="S76" s="73" t="str">
        <x:v>provisionally_independent</x:v>
      </x:c>
      <x:c r="T76" s="73"/>
      <x:c r="U76" s="73" t="str"/>
      <x:c r="V76" s="73" t="str">
        <x:v>not_used_for_tool_acceptance</x:v>
      </x:c>
      <x:c r="W76" s="73" t="str">
        <x:v>unreviewed</x:v>
      </x:c>
      <x:c r="X76" s="73"/>
      <x:c r="Y76" s="73" t="str">
        <x:f>IF(X76="接受",IF(O76="implemented_tested_unreviewed",IF(S76="provisionally_independent","候选可用","需先完成家族复审"),"缺少实现"),IF(X76="拒绝","排除","未审批"))</x:f>
        <x:v>未审批</x:v>
      </x:c>
      <x:c r="Z76" s="73"/>
      <x:c r="AA76" s="73"/>
      <x:c r="AB76" s="73"/>
      <x:c r="AC76" s="73" t="n">
        <x:v>76</x:v>
      </x:c>
      <x:c r="AD76" s="73" t="str">
        <x:v>DS042高炉日/月数据+原料分析+能源/排放因子</x:v>
      </x:c>
      <x:c r="AE76" s="73" t="str">
        <x:v>解析解/手算样例/边界值单元测试</x:v>
      </x:c>
      <x:c r="AF76" s="73" t="str">
        <x:v>仅存在于规划清单；不得计入当前可调用工具数。</x:v>
      </x:c>
    </x:row>
    <x:row r="77">
      <x:c r="A77" s="73" t="str">
        <x:v>E011</x:v>
      </x:c>
      <x:c r="B77" s="73" t="str">
        <x:v>高炉低碳</x:v>
      </x:c>
      <x:c r="C77" s="73" t="str">
        <x:v>CO/CO2利用率</x:v>
      </x:c>
      <x:c r="D77" s="73" t="str">
        <x:v>确定性公式/规则</x:v>
      </x:c>
      <x:c r="E77" s="73" t="str">
        <x:v>calc_gas_utilization</x:v>
      </x:c>
      <x:c r="F77" s="73"/>
      <x:c r="G77" s="73"/>
      <x:c r="H77" s="73" t="str">
        <x:v>not_implemented</x:v>
      </x:c>
      <x:c r="I77" s="73" t="str">
        <x:v>P1</x:v>
      </x:c>
      <x:c r="J77" s="73" t="str">
        <x:v>否</x:v>
      </x:c>
      <x:c r="K77" s="73" t="str">
        <x:v>ηCO=CO2/(CO+CO2)等指标</x:v>
      </x:c>
      <x:c r="L77" s="73" t="str">
        <x:v>顶煤气组成</x:v>
      </x:c>
      <x:c r="M77" s="73" t="str">
        <x:v>CO/H2利用率、趋势</x:v>
      </x:c>
      <x:c r="N77" s="73" t="str">
        <x:v>高炉具有强时滞和炉况差异；模型必须绑定高炉、炉料制度、统计周期与碳核算边界</x:v>
      </x:c>
      <x:c r="O77" s="73" t="str">
        <x:v>planned_unimplemented</x:v>
      </x:c>
      <x:c r="P77" s="73"/>
      <x:c r="Q77" s="73"/>
      <x:c r="R77" s="73"/>
      <x:c r="S77" s="73" t="str">
        <x:v>provisionally_independent</x:v>
      </x:c>
      <x:c r="T77" s="73"/>
      <x:c r="U77" s="73" t="str"/>
      <x:c r="V77" s="73" t="str">
        <x:v>not_used_for_tool_acceptance</x:v>
      </x:c>
      <x:c r="W77" s="73" t="str">
        <x:v>unreviewed</x:v>
      </x:c>
      <x:c r="X77" s="73"/>
      <x:c r="Y77" s="73" t="str">
        <x:f>IF(X77="接受",IF(O77="implemented_tested_unreviewed",IF(S77="provisionally_independent","候选可用","需先完成家族复审"),"缺少实现"),IF(X77="拒绝","排除","未审批"))</x:f>
        <x:v>未审批</x:v>
      </x:c>
      <x:c r="Z77" s="73"/>
      <x:c r="AA77" s="73"/>
      <x:c r="AB77" s="73"/>
      <x:c r="AC77" s="73" t="n">
        <x:v>77</x:v>
      </x:c>
      <x:c r="AD77" s="73" t="str">
        <x:v>DS042高炉日/月数据+原料分析+能源/排放因子</x:v>
      </x:c>
      <x:c r="AE77" s="73" t="str">
        <x:v>解析解/手算样例/边界值单元测试</x:v>
      </x:c>
      <x:c r="AF77" s="73" t="str">
        <x:v>仅存在于规划清单；不得计入当前可调用工具数。</x:v>
      </x:c>
    </x:row>
    <x:row r="78">
      <x:c r="A78" s="73" t="str">
        <x:v>E012</x:v>
      </x:c>
      <x:c r="B78" s="73" t="str">
        <x:v>高炉低碳</x:v>
      </x:c>
      <x:c r="C78" s="73" t="str">
        <x:v>风口前煤气量</x:v>
      </x:c>
      <x:c r="D78" s="73" t="str">
        <x:v>确定性公式/规则</x:v>
      </x:c>
      <x:c r="E78" s="73" t="str">
        <x:v>calc_tuyere_gas_volume</x:v>
      </x:c>
      <x:c r="F78" s="73"/>
      <x:c r="G78" s="73"/>
      <x:c r="H78" s="73" t="str">
        <x:v>not_implemented</x:v>
      </x:c>
      <x:c r="I78" s="73" t="str">
        <x:v>P1</x:v>
      </x:c>
      <x:c r="J78" s="73" t="str">
        <x:v>否</x:v>
      </x:c>
      <x:c r="K78" s="73" t="str">
        <x:v>鼓风、富氧、喷吹燃料的风口区气量平衡</x:v>
      </x:c>
      <x:c r="L78" s="73" t="str">
        <x:v>风量、湿分、富氧、喷煤</x:v>
      </x:c>
      <x:c r="M78" s="73" t="str">
        <x:v>理论煤气量、组成</x:v>
      </x:c>
      <x:c r="N78" s="73" t="str">
        <x:v>高炉具有强时滞和炉况差异；模型必须绑定高炉、炉料制度、统计周期与碳核算边界</x:v>
      </x:c>
      <x:c r="O78" s="73" t="str">
        <x:v>planned_unimplemented</x:v>
      </x:c>
      <x:c r="P78" s="73"/>
      <x:c r="Q78" s="73"/>
      <x:c r="R78" s="73"/>
      <x:c r="S78" s="73" t="str">
        <x:v>provisionally_independent</x:v>
      </x:c>
      <x:c r="T78" s="73"/>
      <x:c r="U78" s="73" t="str"/>
      <x:c r="V78" s="73" t="str">
        <x:v>not_used_for_tool_acceptance</x:v>
      </x:c>
      <x:c r="W78" s="73" t="str">
        <x:v>unreviewed</x:v>
      </x:c>
      <x:c r="X78" s="73"/>
      <x:c r="Y78" s="73" t="str">
        <x:f>IF(X78="接受",IF(O78="implemented_tested_unreviewed",IF(S78="provisionally_independent","候选可用","需先完成家族复审"),"缺少实现"),IF(X78="拒绝","排除","未审批"))</x:f>
        <x:v>未审批</x:v>
      </x:c>
      <x:c r="Z78" s="73"/>
      <x:c r="AA78" s="73"/>
      <x:c r="AB78" s="73"/>
      <x:c r="AC78" s="73" t="n">
        <x:v>78</x:v>
      </x:c>
      <x:c r="AD78" s="73" t="str">
        <x:v>DS042高炉日/月数据+原料分析+能源/排放因子</x:v>
      </x:c>
      <x:c r="AE78" s="73" t="str">
        <x:v>解析解/手算样例/边界值单元测试</x:v>
      </x:c>
      <x:c r="AF78" s="73" t="str">
        <x:v>仅存在于规划清单；不得计入当前可调用工具数。</x:v>
      </x:c>
    </x:row>
    <x:row r="79">
      <x:c r="A79" s="73" t="str">
        <x:v>E013</x:v>
      </x:c>
      <x:c r="B79" s="73" t="str">
        <x:v>高炉低碳</x:v>
      </x:c>
      <x:c r="C79" s="73" t="str">
        <x:v>风口回旋区绝热火焰温度</x:v>
      </x:c>
      <x:c r="D79" s="73" t="str">
        <x:v>确定性公式/规则</x:v>
      </x:c>
      <x:c r="E79" s="73" t="str">
        <x:v>calc_raceway_adiabatic_flame_temp</x:v>
      </x:c>
      <x:c r="F79" s="73"/>
      <x:c r="G79" s="73"/>
      <x:c r="H79" s="73" t="str">
        <x:v>not_implemented</x:v>
      </x:c>
      <x:c r="I79" s="73" t="str">
        <x:v>P1</x:v>
      </x:c>
      <x:c r="J79" s="73" t="str">
        <x:v>否</x:v>
      </x:c>
      <x:c r="K79" s="73" t="str">
        <x:v>风口区绝热热平衡</x:v>
      </x:c>
      <x:c r="L79" s="73" t="str">
        <x:v>风温、富氧、湿分、喷煤/气</x:v>
      </x:c>
      <x:c r="M79" s="73" t="str">
        <x:v>RAFT、热量分项</x:v>
      </x:c>
      <x:c r="N79" s="73" t="str">
        <x:v>高炉具有强时滞和炉况差异；模型必须绑定高炉、炉料制度、统计周期与碳核算边界</x:v>
      </x:c>
      <x:c r="O79" s="73" t="str">
        <x:v>planned_unimplemented</x:v>
      </x:c>
      <x:c r="P79" s="73"/>
      <x:c r="Q79" s="73"/>
      <x:c r="R79" s="73"/>
      <x:c r="S79" s="73" t="str">
        <x:v>provisionally_independent</x:v>
      </x:c>
      <x:c r="T79" s="73"/>
      <x:c r="U79" s="73" t="str"/>
      <x:c r="V79" s="73" t="str">
        <x:v>not_used_for_tool_acceptance</x:v>
      </x:c>
      <x:c r="W79" s="73" t="str">
        <x:v>unreviewed</x:v>
      </x:c>
      <x:c r="X79" s="73"/>
      <x:c r="Y79" s="73" t="str">
        <x:f>IF(X79="接受",IF(O79="implemented_tested_unreviewed",IF(S79="provisionally_independent","候选可用","需先完成家族复审"),"缺少实现"),IF(X79="拒绝","排除","未审批"))</x:f>
        <x:v>未审批</x:v>
      </x:c>
      <x:c r="Z79" s="73"/>
      <x:c r="AA79" s="73"/>
      <x:c r="AB79" s="73"/>
      <x:c r="AC79" s="73" t="n">
        <x:v>79</x:v>
      </x:c>
      <x:c r="AD79" s="73" t="str">
        <x:v>DS042高炉日/月数据+原料分析+能源/排放因子</x:v>
      </x:c>
      <x:c r="AE79" s="73" t="str">
        <x:v>解析解/手算样例/边界值单元测试</x:v>
      </x:c>
      <x:c r="AF79" s="73" t="str">
        <x:v>仅存在于规划清单；不得计入当前可调用工具数。</x:v>
      </x:c>
    </x:row>
    <x:row r="80">
      <x:c r="A80" s="73" t="str">
        <x:v>E014</x:v>
      </x:c>
      <x:c r="B80" s="73" t="str">
        <x:v>高炉低碳</x:v>
      </x:c>
      <x:c r="C80" s="73" t="str">
        <x:v>料柱Ergun压降</x:v>
      </x:c>
      <x:c r="D80" s="73" t="str">
        <x:v>确定性公式/规则</x:v>
      </x:c>
      <x:c r="E80" s="73" t="str">
        <x:v>calc_burden_ergun_pressure_drop</x:v>
      </x:c>
      <x:c r="F80" s="73"/>
      <x:c r="G80" s="73"/>
      <x:c r="H80" s="73" t="str">
        <x:v>not_implemented</x:v>
      </x:c>
      <x:c r="I80" s="73" t="str">
        <x:v>P1</x:v>
      </x:c>
      <x:c r="J80" s="73" t="str">
        <x:v>否</x:v>
      </x:c>
      <x:c r="K80" s="73" t="str">
        <x:v>Ergun方程与多层料柱叠加</x:v>
      </x:c>
      <x:c r="L80" s="73" t="str">
        <x:v>粒径、空隙率、气速、物性、层厚</x:v>
      </x:c>
      <x:c r="M80" s="73" t="str">
        <x:v>压降、临界区段</x:v>
      </x:c>
      <x:c r="N80" s="73" t="str">
        <x:v>高炉具有强时滞和炉况差异；模型必须绑定高炉、炉料制度、统计周期与碳核算边界</x:v>
      </x:c>
      <x:c r="O80" s="73" t="str">
        <x:v>planned_unimplemented</x:v>
      </x:c>
      <x:c r="P80" s="73"/>
      <x:c r="Q80" s="73"/>
      <x:c r="R80" s="73"/>
      <x:c r="S80" s="73" t="str">
        <x:v>provisionally_independent</x:v>
      </x:c>
      <x:c r="T80" s="73"/>
      <x:c r="U80" s="73" t="str"/>
      <x:c r="V80" s="73" t="str">
        <x:v>not_used_for_tool_acceptance</x:v>
      </x:c>
      <x:c r="W80" s="73" t="str">
        <x:v>unreviewed</x:v>
      </x:c>
      <x:c r="X80" s="73"/>
      <x:c r="Y80" s="73" t="str">
        <x:f>IF(X80="接受",IF(O80="implemented_tested_unreviewed",IF(S80="provisionally_independent","候选可用","需先完成家族复审"),"缺少实现"),IF(X80="拒绝","排除","未审批"))</x:f>
        <x:v>未审批</x:v>
      </x:c>
      <x:c r="Z80" s="73"/>
      <x:c r="AA80" s="73"/>
      <x:c r="AB80" s="73"/>
      <x:c r="AC80" s="73" t="n">
        <x:v>80</x:v>
      </x:c>
      <x:c r="AD80" s="73" t="str">
        <x:v>DS042高炉日/月数据+原料分析+能源/排放因子</x:v>
      </x:c>
      <x:c r="AE80" s="73" t="str">
        <x:v>解析解/手算样例/边界值单元测试</x:v>
      </x:c>
      <x:c r="AF80" s="73" t="str">
        <x:v>仅存在于规划清单；不得计入当前可调用工具数。</x:v>
      </x:c>
    </x:row>
    <x:row r="81">
      <x:c r="A81" s="73" t="str">
        <x:v>E015</x:v>
      </x:c>
      <x:c r="B81" s="73" t="str">
        <x:v>高炉低碳</x:v>
      </x:c>
      <x:c r="C81" s="73" t="str">
        <x:v>透气性指数</x:v>
      </x:c>
      <x:c r="D81" s="73" t="str">
        <x:v>确定性公式/规则</x:v>
      </x:c>
      <x:c r="E81" s="73" t="str">
        <x:v>calc_permeability_index</x:v>
      </x:c>
      <x:c r="F81" s="73"/>
      <x:c r="G81" s="73"/>
      <x:c r="H81" s="73" t="str">
        <x:v>not_implemented</x:v>
      </x:c>
      <x:c r="I81" s="73" t="str">
        <x:v>P2</x:v>
      </x:c>
      <x:c r="J81" s="73" t="str">
        <x:v>否</x:v>
      </x:c>
      <x:c r="K81" s="73" t="str">
        <x:v>压差/风量/料柱修正指数</x:v>
      </x:c>
      <x:c r="L81" s="73" t="str">
        <x:v>压差、风量、炉顶压力、料线</x:v>
      </x:c>
      <x:c r="M81" s="73" t="str">
        <x:v>透气性指数、趋势异常</x:v>
      </x:c>
      <x:c r="N81" s="73" t="str">
        <x:v>高炉具有强时滞和炉况差异；模型必须绑定高炉、炉料制度、统计周期与碳核算边界</x:v>
      </x:c>
      <x:c r="O81" s="73" t="str">
        <x:v>planned_unimplemented</x:v>
      </x:c>
      <x:c r="P81" s="73"/>
      <x:c r="Q81" s="73"/>
      <x:c r="R81" s="73"/>
      <x:c r="S81" s="73" t="str">
        <x:v>provisionally_independent</x:v>
      </x:c>
      <x:c r="T81" s="73"/>
      <x:c r="U81" s="73" t="str"/>
      <x:c r="V81" s="73" t="str">
        <x:v>not_used_for_tool_acceptance</x:v>
      </x:c>
      <x:c r="W81" s="73" t="str">
        <x:v>unreviewed</x:v>
      </x:c>
      <x:c r="X81" s="73"/>
      <x:c r="Y81" s="73" t="str">
        <x:f>IF(X81="接受",IF(O81="implemented_tested_unreviewed",IF(S81="provisionally_independent","候选可用","需先完成家族复审"),"缺少实现"),IF(X81="拒绝","排除","未审批"))</x:f>
        <x:v>未审批</x:v>
      </x:c>
      <x:c r="Z81" s="73"/>
      <x:c r="AA81" s="73"/>
      <x:c r="AB81" s="73"/>
      <x:c r="AC81" s="73" t="n">
        <x:v>81</x:v>
      </x:c>
      <x:c r="AD81" s="73" t="str">
        <x:v>DS042高炉日/月数据+原料分析+能源/排放因子</x:v>
      </x:c>
      <x:c r="AE81" s="73" t="str">
        <x:v>解析解/手算样例/边界值单元测试</x:v>
      </x:c>
      <x:c r="AF81" s="73" t="str">
        <x:v>仅存在于规划清单；不得计入当前可调用工具数。</x:v>
      </x:c>
    </x:row>
    <x:row r="82">
      <x:c r="A82" s="73" t="str">
        <x:v>E016</x:v>
      </x:c>
      <x:c r="B82" s="73" t="str">
        <x:v>高炉低碳</x:v>
      </x:c>
      <x:c r="C82" s="73" t="str">
        <x:v>布料分布指数</x:v>
      </x:c>
      <x:c r="D82" s="73" t="str">
        <x:v>指标/数据模型</x:v>
      </x:c>
      <x:c r="E82" s="73" t="str">
        <x:v>calc_burden_distribution_index</x:v>
      </x:c>
      <x:c r="F82" s="73"/>
      <x:c r="G82" s="73"/>
      <x:c r="H82" s="73" t="str">
        <x:v>not_implemented</x:v>
      </x:c>
      <x:c r="I82" s="73" t="str">
        <x:v>P2</x:v>
      </x:c>
      <x:c r="J82" s="73" t="str">
        <x:v>可选</x:v>
      </x:c>
      <x:c r="K82" s="73" t="str">
        <x:v>布料矩阵、径向矿焦比和粒度分布</x:v>
      </x:c>
      <x:c r="L82" s="73" t="str">
        <x:v>溜槽角度、批次、探尺/雷达数据</x:v>
      </x:c>
      <x:c r="M82" s="73" t="str">
        <x:v>径向分布指数、均匀性</x:v>
      </x:c>
      <x:c r="N82" s="73" t="str">
        <x:v>高炉具有强时滞和炉况差异；模型必须绑定高炉、炉料制度、统计周期与碳核算边界</x:v>
      </x:c>
      <x:c r="O82" s="73" t="str">
        <x:v>planned_unimplemented</x:v>
      </x:c>
      <x:c r="P82" s="73"/>
      <x:c r="Q82" s="73"/>
      <x:c r="R82" s="73"/>
      <x:c r="S82" s="73" t="str">
        <x:v>provisionally_independent</x:v>
      </x:c>
      <x:c r="T82" s="73"/>
      <x:c r="U82" s="73" t="str"/>
      <x:c r="V82" s="73" t="str">
        <x:v>not_used_for_tool_acceptance</x:v>
      </x:c>
      <x:c r="W82" s="73" t="str">
        <x:v>unreviewed</x:v>
      </x:c>
      <x:c r="X82" s="73"/>
      <x:c r="Y82" s="73" t="str">
        <x:f>IF(X82="接受",IF(O82="implemented_tested_unreviewed",IF(S82="provisionally_independent","候选可用","需先完成家族复审"),"缺少实现"),IF(X82="拒绝","排除","未审批"))</x:f>
        <x:v>未审批</x:v>
      </x:c>
      <x:c r="Z82" s="73"/>
      <x:c r="AA82" s="73"/>
      <x:c r="AB82" s="73"/>
      <x:c r="AC82" s="73" t="n">
        <x:v>82</x:v>
      </x:c>
      <x:c r="AD82" s="73" t="str">
        <x:v>DS042高炉日/月数据+原料分析+能源/排放因子</x:v>
      </x:c>
      <x:c r="AE82" s="73" t="str">
        <x:v>解析解/手算样例/边界值单元测试</x:v>
      </x:c>
      <x:c r="AF82" s="73" t="str">
        <x:v>仅存在于规划清单；不得计入当前可调用工具数。</x:v>
      </x:c>
    </x:row>
    <x:row r="83">
      <x:c r="A83" s="73" t="str">
        <x:v>E017</x:v>
      </x:c>
      <x:c r="B83" s="73" t="str">
        <x:v>高炉低碳</x:v>
      </x:c>
      <x:c r="C83" s="73" t="str">
        <x:v>铁水硅预测</x:v>
      </x:c>
      <x:c r="D83" s="73" t="str">
        <x:v>机器学习预测</x:v>
      </x:c>
      <x:c r="E83" s="73" t="str">
        <x:v>predict_hot_metal_silicon</x:v>
      </x:c>
      <x:c r="F83" s="73"/>
      <x:c r="G83" s="73"/>
      <x:c r="H83" s="73" t="str">
        <x:v>not_implemented</x:v>
      </x:c>
      <x:c r="I83" s="73" t="str">
        <x:v>P2</x:v>
      </x:c>
      <x:c r="J83" s="73" t="str">
        <x:v>是</x:v>
      </x:c>
      <x:c r="K83" s="73" t="str">
        <x:v>时滞特征+GBDT/时序模型+物料平衡约束</x:v>
      </x:c>
      <x:c r="L83" s="73" t="str">
        <x:v>近数小时工艺、炉料、风口、煤气、历史化验</x:v>
      </x:c>
      <x:c r="M83" s="73" t="str">
        <x:v>铁水Si/温度预测、区间、贡献</x:v>
      </x:c>
      <x:c r="N83" s="73" t="str">
        <x:v>高炉具有强时滞和炉况差异；模型必须绑定高炉、炉料制度、统计周期与碳核算边界</x:v>
      </x:c>
      <x:c r="O83" s="73" t="str">
        <x:v>planned_unimplemented</x:v>
      </x:c>
      <x:c r="P83" s="73"/>
      <x:c r="Q83" s="73"/>
      <x:c r="R83" s="73"/>
      <x:c r="S83" s="73" t="str">
        <x:v>needs_family_review</x:v>
      </x:c>
      <x:c r="T83" s="73" t="str">
        <x:v>FG-07</x:v>
      </x:c>
      <x:c r="U83" s="73" t="str">
        <x:v>E017, E018</x:v>
      </x:c>
      <x:c r="V83" s="73" t="str">
        <x:v>not_used_for_tool_acceptance</x:v>
      </x:c>
      <x:c r="W83" s="73" t="str">
        <x:v>unreviewed</x:v>
      </x:c>
      <x:c r="X83" s="73"/>
      <x:c r="Y83" s="73" t="str">
        <x:f>IF(X83="接受",IF(O83="implemented_tested_unreviewed",IF(S83="provisionally_independent","候选可用","需先完成家族复审"),"缺少实现"),IF(X83="拒绝","排除","未审批"))</x:f>
        <x:v>未审批</x:v>
      </x:c>
      <x:c r="Z83" s="73"/>
      <x:c r="AA83" s="73"/>
      <x:c r="AB83" s="73"/>
      <x:c r="AC83" s="73" t="n">
        <x:v>83</x:v>
      </x:c>
      <x:c r="AD83" s="73" t="str">
        <x:v>DS042高炉日/月数据+原料分析+能源/排放因子</x:v>
      </x:c>
      <x:c r="AE83" s="73" t="str">
        <x:v>按出铁次时间切分+炉况分层+操作员基线</x:v>
      </x:c>
      <x:c r="AF83" s="73" t="str">
        <x:v>仅存在于规划清单；不得计入当前可调用工具数。</x:v>
      </x:c>
    </x:row>
    <x:row r="84">
      <x:c r="A84" s="73" t="str">
        <x:v>E018</x:v>
      </x:c>
      <x:c r="B84" s="73" t="str">
        <x:v>高炉低碳</x:v>
      </x:c>
      <x:c r="C84" s="73" t="str">
        <x:v>铁水温度预测</x:v>
      </x:c>
      <x:c r="D84" s="73" t="str">
        <x:v>机器学习预测</x:v>
      </x:c>
      <x:c r="E84" s="73" t="str">
        <x:v>predict_hot_metal_temperature</x:v>
      </x:c>
      <x:c r="F84" s="73"/>
      <x:c r="G84" s="73"/>
      <x:c r="H84" s="73" t="str">
        <x:v>not_implemented</x:v>
      </x:c>
      <x:c r="I84" s="73" t="str">
        <x:v>P2</x:v>
      </x:c>
      <x:c r="J84" s="73" t="str">
        <x:v>是</x:v>
      </x:c>
      <x:c r="K84" s="73" t="str">
        <x:v>时滞特征+GBDT/时序模型+物料平衡约束</x:v>
      </x:c>
      <x:c r="L84" s="73" t="str">
        <x:v>近数小时工艺、炉料、风口、煤气、历史化验</x:v>
      </x:c>
      <x:c r="M84" s="73" t="str">
        <x:v>铁水Si/温度预测、区间、贡献</x:v>
      </x:c>
      <x:c r="N84" s="73" t="str">
        <x:v>高炉具有强时滞和炉况差异；模型必须绑定高炉、炉料制度、统计周期与碳核算边界</x:v>
      </x:c>
      <x:c r="O84" s="73" t="str">
        <x:v>planned_unimplemented</x:v>
      </x:c>
      <x:c r="P84" s="73"/>
      <x:c r="Q84" s="73"/>
      <x:c r="R84" s="73"/>
      <x:c r="S84" s="73" t="str">
        <x:v>needs_family_review</x:v>
      </x:c>
      <x:c r="T84" s="73" t="str">
        <x:v>FG-07</x:v>
      </x:c>
      <x:c r="U84" s="73" t="str">
        <x:v>E017, E018</x:v>
      </x:c>
      <x:c r="V84" s="73" t="str">
        <x:v>not_used_for_tool_acceptance</x:v>
      </x:c>
      <x:c r="W84" s="73" t="str">
        <x:v>unreviewed</x:v>
      </x:c>
      <x:c r="X84" s="73"/>
      <x:c r="Y84" s="73" t="str">
        <x:f>IF(X84="接受",IF(O84="implemented_tested_unreviewed",IF(S84="provisionally_independent","候选可用","需先完成家族复审"),"缺少实现"),IF(X84="拒绝","排除","未审批"))</x:f>
        <x:v>未审批</x:v>
      </x:c>
      <x:c r="Z84" s="73"/>
      <x:c r="AA84" s="73"/>
      <x:c r="AB84" s="73"/>
      <x:c r="AC84" s="73" t="n">
        <x:v>84</x:v>
      </x:c>
      <x:c r="AD84" s="73" t="str">
        <x:v>DS042高炉日/月数据+原料分析+能源/排放因子</x:v>
      </x:c>
      <x:c r="AE84" s="73" t="str">
        <x:v>按出铁次时间切分+炉况分层+操作员基线</x:v>
      </x:c>
      <x:c r="AF84" s="73" t="str">
        <x:v>仅存在于规划清单；不得计入当前可调用工具数。</x:v>
      </x:c>
    </x:row>
    <x:row r="85">
      <x:c r="A85" s="73" t="str">
        <x:v>E019</x:v>
      </x:c>
      <x:c r="B85" s="73" t="str">
        <x:v>高炉低碳</x:v>
      </x:c>
      <x:c r="C85" s="73" t="str">
        <x:v>炉况稳定性分类</x:v>
      </x:c>
      <x:c r="D85" s="73" t="str">
        <x:v>分类/异常检测</x:v>
      </x:c>
      <x:c r="E85" s="73" t="str">
        <x:v>classify_bf_stability</x:v>
      </x:c>
      <x:c r="F85" s="73"/>
      <x:c r="G85" s="73"/>
      <x:c r="H85" s="73" t="str">
        <x:v>not_implemented</x:v>
      </x:c>
      <x:c r="I85" s="73" t="str">
        <x:v>P2</x:v>
      </x:c>
      <x:c r="J85" s="73" t="str">
        <x:v>是</x:v>
      </x:c>
      <x:c r="K85" s="73" t="str">
        <x:v>多变量时序特征+可解释分类器</x:v>
      </x:c>
      <x:c r="L85" s="73" t="str">
        <x:v>压差、炉顶、风口、煤气、料线等</x:v>
      </x:c>
      <x:c r="M85" s="73" t="str">
        <x:v>稳定/预警类别、风险因素</x:v>
      </x:c>
      <x:c r="N85" s="73" t="str">
        <x:v>高炉具有强时滞和炉况差异；模型必须绑定高炉、炉料制度、统计周期与碳核算边界</x:v>
      </x:c>
      <x:c r="O85" s="73" t="str">
        <x:v>planned_unimplemented</x:v>
      </x:c>
      <x:c r="P85" s="73"/>
      <x:c r="Q85" s="73"/>
      <x:c r="R85" s="73"/>
      <x:c r="S85" s="73" t="str">
        <x:v>provisionally_independent</x:v>
      </x:c>
      <x:c r="T85" s="73"/>
      <x:c r="U85" s="73" t="str"/>
      <x:c r="V85" s="73" t="str">
        <x:v>not_used_for_tool_acceptance</x:v>
      </x:c>
      <x:c r="W85" s="73" t="str">
        <x:v>unreviewed</x:v>
      </x:c>
      <x:c r="X85" s="73"/>
      <x:c r="Y85" s="73" t="str">
        <x:f>IF(X85="接受",IF(O85="implemented_tested_unreviewed",IF(S85="provisionally_independent","候选可用","需先完成家族复审"),"缺少实现"),IF(X85="拒绝","排除","未审批"))</x:f>
        <x:v>未审批</x:v>
      </x:c>
      <x:c r="Z85" s="73"/>
      <x:c r="AA85" s="73"/>
      <x:c r="AB85" s="73"/>
      <x:c r="AC85" s="73" t="n">
        <x:v>85</x:v>
      </x:c>
      <x:c r="AD85" s="73" t="str">
        <x:v>DS042高炉日/月数据+原料分析+能源/排放因子</x:v>
      </x:c>
      <x:c r="AE85" s="73" t="str">
        <x:v>历史异常回放+专家复核+提前量/误报率</x:v>
      </x:c>
      <x:c r="AF85" s="73" t="str">
        <x:v>仅存在于规划清单；不得计入当前可调用工具数。</x:v>
      </x:c>
    </x:row>
    <x:row r="86">
      <x:c r="A86" s="73" t="str">
        <x:v>E020</x:v>
      </x:c>
      <x:c r="B86" s="73" t="str">
        <x:v>高炉低碳</x:v>
      </x:c>
      <x:c r="C86" s="73" t="str">
        <x:v>高炉碳足迹</x:v>
      </x:c>
      <x:c r="D86" s="73" t="str">
        <x:v>碳核算</x:v>
      </x:c>
      <x:c r="E86" s="73" t="str">
        <x:v>calc_bf_carbon_footprint</x:v>
      </x:c>
      <x:c r="F86" s="73"/>
      <x:c r="G86" s="73"/>
      <x:c r="H86" s="73" t="str">
        <x:v>not_implemented</x:v>
      </x:c>
      <x:c r="I86" s="73" t="str">
        <x:v>P2</x:v>
      </x:c>
      <x:c r="J86" s="73" t="str">
        <x:v>否</x:v>
      </x:c>
      <x:c r="K86" s="73" t="str">
        <x:v>活动数据×排放因子；工序边界与分配规则</x:v>
      </x:c>
      <x:c r="L86" s="73" t="str">
        <x:v>焦/煤/电/气/原料/产量、因子版本</x:v>
      </x:c>
      <x:c r="M86" s="73" t="str">
        <x:v>tCO2e/tHM、分项排放、范围说明</x:v>
      </x:c>
      <x:c r="N86" s="73" t="str">
        <x:v>高炉具有强时滞和炉况差异；模型必须绑定高炉、炉料制度、统计周期与碳核算边界</x:v>
      </x:c>
      <x:c r="O86" s="73" t="str">
        <x:v>planned_unimplemented</x:v>
      </x:c>
      <x:c r="P86" s="73"/>
      <x:c r="Q86" s="73"/>
      <x:c r="R86" s="73"/>
      <x:c r="S86" s="73" t="str">
        <x:v>provisionally_independent</x:v>
      </x:c>
      <x:c r="T86" s="73"/>
      <x:c r="U86" s="73" t="str"/>
      <x:c r="V86" s="73" t="str">
        <x:v>not_used_for_tool_acceptance</x:v>
      </x:c>
      <x:c r="W86" s="73" t="str">
        <x:v>unreviewed</x:v>
      </x:c>
      <x:c r="X86" s="73"/>
      <x:c r="Y86" s="73" t="str">
        <x:f>IF(X86="接受",IF(O86="implemented_tested_unreviewed",IF(S86="provisionally_independent","候选可用","需先完成家族复审"),"缺少实现"),IF(X86="拒绝","排除","未审批"))</x:f>
        <x:v>未审批</x:v>
      </x:c>
      <x:c r="Z86" s="73"/>
      <x:c r="AA86" s="73"/>
      <x:c r="AB86" s="73"/>
      <x:c r="AC86" s="73" t="n">
        <x:v>86</x:v>
      </x:c>
      <x:c r="AD86" s="73" t="str">
        <x:v>DS042高炉日/月数据+原料分析+能源/排放因子</x:v>
      </x:c>
      <x:c r="AE86" s="73" t="str">
        <x:v>总碳守恒/因子版本审计+第三方核算口径比对</x:v>
      </x:c>
      <x:c r="AF86" s="73" t="str">
        <x:v>仅存在于规划清单；不得计入当前可调用工具数。</x:v>
      </x:c>
    </x:row>
    <x:row r="87">
      <x:c r="A87" s="73" t="str">
        <x:v>F001</x:v>
      </x:c>
      <x:c r="B87" s="73" t="str">
        <x:v>连铸质量与二冷</x:v>
      </x:c>
      <x:c r="C87" s="73" t="str">
        <x:v>液相线温度</x:v>
      </x:c>
      <x:c r="D87" s="73" t="str">
        <x:v>经验/热力学模型</x:v>
      </x:c>
      <x:c r="E87" s="73" t="str">
        <x:v>calc_liquidus_temperature</x:v>
      </x:c>
      <x:c r="F87" s="73"/>
      <x:c r="G87" s="73"/>
      <x:c r="H87" s="73" t="str">
        <x:v>not_implemented</x:v>
      </x:c>
      <x:c r="I87" s="73" t="str">
        <x:v>P0</x:v>
      </x:c>
      <x:c r="J87" s="73" t="str">
        <x:v>可选</x:v>
      </x:c>
      <x:c r="K87" s="73" t="str">
        <x:v>成分经验式或CALPHAD</x:v>
      </x:c>
      <x:c r="L87" s="73" t="str">
        <x:v>钢种成分、数据库/公式版本</x:v>
      </x:c>
      <x:c r="M87" s="73" t="str">
        <x:v>液相线/固相线温度、置信区间</x:v>
      </x:c>
      <x:c r="N87" s="73" t="str">
        <x:v>连铸模型必须绑定钢种、断面、设备、喷嘴与传感器配置；高风险报警须人工/联锁规则复核</x:v>
      </x:c>
      <x:c r="O87" s="73" t="str">
        <x:v>planned_unimplemented</x:v>
      </x:c>
      <x:c r="P87" s="73"/>
      <x:c r="Q87" s="73"/>
      <x:c r="R87" s="73"/>
      <x:c r="S87" s="73" t="str">
        <x:v>needs_family_review</x:v>
      </x:c>
      <x:c r="T87" s="73" t="str">
        <x:v>FG-08</x:v>
      </x:c>
      <x:c r="U87" s="73" t="str">
        <x:v>F001, F002</x:v>
      </x:c>
      <x:c r="V87" s="73" t="str">
        <x:v>not_used_for_tool_acceptance</x:v>
      </x:c>
      <x:c r="W87" s="73" t="str">
        <x:v>unreviewed</x:v>
      </x:c>
      <x:c r="X87" s="73"/>
      <x:c r="Y87" s="73" t="str">
        <x:f>IF(X87="接受",IF(O87="implemented_tested_unreviewed",IF(S87="provisionally_independent","候选可用","需先完成家族复审"),"缺少实现"),IF(X87="拒绝","排除","未审批"))</x:f>
        <x:v>未审批</x:v>
      </x:c>
      <x:c r="Z87" s="73"/>
      <x:c r="AA87" s="73"/>
      <x:c r="AB87" s="73"/>
      <x:c r="AC87" s="73" t="n">
        <x:v>87</x:v>
      </x:c>
      <x:c r="AD87" s="73" t="str">
        <x:v>DS042钢种/浇次/温度/拉速/水量/质量数据+物性</x:v>
      </x:c>
      <x:c r="AE87" s="73" t="str">
        <x:v>解析解/手算样例/边界值单元测试</x:v>
      </x:c>
      <x:c r="AF87" s="73" t="str">
        <x:v>仅存在于规划清单；不得计入当前可调用工具数。</x:v>
      </x:c>
    </x:row>
    <x:row r="88">
      <x:c r="A88" s="73" t="str">
        <x:v>F002</x:v>
      </x:c>
      <x:c r="B88" s="73" t="str">
        <x:v>连铸质量与二冷</x:v>
      </x:c>
      <x:c r="C88" s="73" t="str">
        <x:v>固相线温度</x:v>
      </x:c>
      <x:c r="D88" s="73" t="str">
        <x:v>经验/热力学模型</x:v>
      </x:c>
      <x:c r="E88" s="73" t="str">
        <x:v>calc_solidus_temperature</x:v>
      </x:c>
      <x:c r="F88" s="73"/>
      <x:c r="G88" s="73"/>
      <x:c r="H88" s="73" t="str">
        <x:v>not_implemented</x:v>
      </x:c>
      <x:c r="I88" s="73" t="str">
        <x:v>P0</x:v>
      </x:c>
      <x:c r="J88" s="73" t="str">
        <x:v>可选</x:v>
      </x:c>
      <x:c r="K88" s="73" t="str">
        <x:v>成分经验式或CALPHAD</x:v>
      </x:c>
      <x:c r="L88" s="73" t="str">
        <x:v>钢种成分、数据库/公式版本</x:v>
      </x:c>
      <x:c r="M88" s="73" t="str">
        <x:v>液相线/固相线温度、置信区间</x:v>
      </x:c>
      <x:c r="N88" s="73" t="str">
        <x:v>连铸模型必须绑定钢种、断面、设备、喷嘴与传感器配置；高风险报警须人工/联锁规则复核</x:v>
      </x:c>
      <x:c r="O88" s="73" t="str">
        <x:v>planned_unimplemented</x:v>
      </x:c>
      <x:c r="P88" s="73"/>
      <x:c r="Q88" s="73"/>
      <x:c r="R88" s="73"/>
      <x:c r="S88" s="73" t="str">
        <x:v>needs_family_review</x:v>
      </x:c>
      <x:c r="T88" s="73" t="str">
        <x:v>FG-08</x:v>
      </x:c>
      <x:c r="U88" s="73" t="str">
        <x:v>F001, F002</x:v>
      </x:c>
      <x:c r="V88" s="73" t="str">
        <x:v>not_used_for_tool_acceptance</x:v>
      </x:c>
      <x:c r="W88" s="73" t="str">
        <x:v>unreviewed</x:v>
      </x:c>
      <x:c r="X88" s="73"/>
      <x:c r="Y88" s="73" t="str">
        <x:f>IF(X88="接受",IF(O88="implemented_tested_unreviewed",IF(S88="provisionally_independent","候选可用","需先完成家族复审"),"缺少实现"),IF(X88="拒绝","排除","未审批"))</x:f>
        <x:v>未审批</x:v>
      </x:c>
      <x:c r="Z88" s="73"/>
      <x:c r="AA88" s="73"/>
      <x:c r="AB88" s="73"/>
      <x:c r="AC88" s="73" t="n">
        <x:v>88</x:v>
      </x:c>
      <x:c r="AD88" s="73" t="str">
        <x:v>DS042钢种/浇次/温度/拉速/水量/质量数据+物性</x:v>
      </x:c>
      <x:c r="AE88" s="73" t="str">
        <x:v>解析解/手算样例/边界值单元测试</x:v>
      </x:c>
      <x:c r="AF88" s="73" t="str">
        <x:v>仅存在于规划清单；不得计入当前可调用工具数。</x:v>
      </x:c>
    </x:row>
    <x:row r="89">
      <x:c r="A89" s="73" t="str">
        <x:v>F003</x:v>
      </x:c>
      <x:c r="B89" s="73" t="str">
        <x:v>连铸质量与二冷</x:v>
      </x:c>
      <x:c r="C89" s="73" t="str">
        <x:v>钢液过热度</x:v>
      </x:c>
      <x:c r="D89" s="73" t="str">
        <x:v>确定性公式/规则</x:v>
      </x:c>
      <x:c r="E89" s="73" t="str">
        <x:v>calc_steel_superheat</x:v>
      </x:c>
      <x:c r="F89" s="73"/>
      <x:c r="G89" s="73"/>
      <x:c r="H89" s="73" t="str">
        <x:v>not_implemented</x:v>
      </x:c>
      <x:c r="I89" s="73" t="str">
        <x:v>P0</x:v>
      </x:c>
      <x:c r="J89" s="73" t="str">
        <x:v>否</x:v>
      </x:c>
      <x:c r="K89" s="73" t="str">
        <x:v>浇注温度-液相线温度</x:v>
      </x:c>
      <x:c r="L89" s="73" t="str">
        <x:v>中包/钢包温度、液相线</x:v>
      </x:c>
      <x:c r="M89" s="73" t="str">
        <x:v>过热度、合格判定</x:v>
      </x:c>
      <x:c r="N89" s="73" t="str">
        <x:v>连铸模型必须绑定钢种、断面、设备、喷嘴与传感器配置；高风险报警须人工/联锁规则复核</x:v>
      </x:c>
      <x:c r="O89" s="73" t="str">
        <x:v>planned_unimplemented</x:v>
      </x:c>
      <x:c r="P89" s="73"/>
      <x:c r="Q89" s="73"/>
      <x:c r="R89" s="73"/>
      <x:c r="S89" s="73" t="str">
        <x:v>provisionally_independent</x:v>
      </x:c>
      <x:c r="T89" s="73"/>
      <x:c r="U89" s="73" t="str"/>
      <x:c r="V89" s="73" t="str">
        <x:v>not_used_for_tool_acceptance</x:v>
      </x:c>
      <x:c r="W89" s="73" t="str">
        <x:v>unreviewed</x:v>
      </x:c>
      <x:c r="X89" s="73"/>
      <x:c r="Y89" s="73" t="str">
        <x:f>IF(X89="接受",IF(O89="implemented_tested_unreviewed",IF(S89="provisionally_independent","候选可用","需先完成家族复审"),"缺少实现"),IF(X89="拒绝","排除","未审批"))</x:f>
        <x:v>未审批</x:v>
      </x:c>
      <x:c r="Z89" s="73"/>
      <x:c r="AA89" s="73"/>
      <x:c r="AB89" s="73"/>
      <x:c r="AC89" s="73" t="n">
        <x:v>89</x:v>
      </x:c>
      <x:c r="AD89" s="73" t="str">
        <x:v>DS042钢种/浇次/温度/拉速/水量/质量数据+物性</x:v>
      </x:c>
      <x:c r="AE89" s="73" t="str">
        <x:v>解析解/手算样例/边界值单元测试</x:v>
      </x:c>
      <x:c r="AF89" s="73" t="str">
        <x:v>仅存在于规划清单；不得计入当前可调用工具数。</x:v>
      </x:c>
    </x:row>
    <x:row r="90">
      <x:c r="A90" s="73" t="str">
        <x:v>F004</x:v>
      </x:c>
      <x:c r="B90" s="73" t="str">
        <x:v>连铸质量与二冷</x:v>
      </x:c>
      <x:c r="C90" s="73" t="str">
        <x:v>固相率曲线</x:v>
      </x:c>
      <x:c r="D90" s="73" t="str">
        <x:v>热力学/凝固模型</x:v>
      </x:c>
      <x:c r="E90" s="73" t="str">
        <x:v>calc_solid_fraction_curve</x:v>
      </x:c>
      <x:c r="F90" s="73"/>
      <x:c r="G90" s="73"/>
      <x:c r="H90" s="73" t="str">
        <x:v>not_implemented</x:v>
      </x:c>
      <x:c r="I90" s="73" t="str">
        <x:v>P0</x:v>
      </x:c>
      <x:c r="J90" s="73" t="str">
        <x:v>否</x:v>
      </x:c>
      <x:c r="K90" s="73" t="str">
        <x:v>平衡/Scheil固相率曲线</x:v>
      </x:c>
      <x:c r="L90" s="73" t="str">
        <x:v>成分、温度、数据库</x:v>
      </x:c>
      <x:c r="M90" s="73" t="str">
        <x:v>fs(T)、潜热分配</x:v>
      </x:c>
      <x:c r="N90" s="73" t="str">
        <x:v>连铸模型必须绑定钢种、断面、设备、喷嘴与传感器配置；高风险报警须人工/联锁规则复核</x:v>
      </x:c>
      <x:c r="O90" s="73" t="str">
        <x:v>planned_unimplemented</x:v>
      </x:c>
      <x:c r="P90" s="73"/>
      <x:c r="Q90" s="73"/>
      <x:c r="R90" s="73"/>
      <x:c r="S90" s="73" t="str">
        <x:v>provisionally_independent</x:v>
      </x:c>
      <x:c r="T90" s="73"/>
      <x:c r="U90" s="73" t="str"/>
      <x:c r="V90" s="73" t="str">
        <x:v>not_used_for_tool_acceptance</x:v>
      </x:c>
      <x:c r="W90" s="73" t="str">
        <x:v>unreviewed</x:v>
      </x:c>
      <x:c r="X90" s="73"/>
      <x:c r="Y90" s="73" t="str">
        <x:f>IF(X90="接受",IF(O90="implemented_tested_unreviewed",IF(S90="provisionally_independent","候选可用","需先完成家族复审"),"缺少实现"),IF(X90="拒绝","排除","未审批"))</x:f>
        <x:v>未审批</x:v>
      </x:c>
      <x:c r="Z90" s="73"/>
      <x:c r="AA90" s="73"/>
      <x:c r="AB90" s="73"/>
      <x:c r="AC90" s="73" t="n">
        <x:v>90</x:v>
      </x:c>
      <x:c r="AD90" s="73" t="str">
        <x:v>DS042钢种/浇次/温度/拉速/水量/质量数据+物性</x:v>
      </x:c>
      <x:c r="AE90" s="73" t="str">
        <x:v>解析解/手算样例/边界值单元测试</x:v>
      </x:c>
      <x:c r="AF90" s="73" t="str">
        <x:v>仅存在于规划清单；不得计入当前可调用工具数。</x:v>
      </x:c>
    </x:row>
    <x:row r="91">
      <x:c r="A91" s="73" t="str">
        <x:v>F005</x:v>
      </x:c>
      <x:c r="B91" s="73" t="str">
        <x:v>连铸质量与二冷</x:v>
      </x:c>
      <x:c r="C91" s="73" t="str">
        <x:v>一维坯壳厚度</x:v>
      </x:c>
      <x:c r="D91" s="73" t="str">
        <x:v>传热模型</x:v>
      </x:c>
      <x:c r="E91" s="73" t="str">
        <x:v>calc_shell_thickness_1d</x:v>
      </x:c>
      <x:c r="F91" s="73"/>
      <x:c r="G91" s="73"/>
      <x:c r="H91" s="73" t="str">
        <x:v>not_implemented</x:v>
      </x:c>
      <x:c r="I91" s="73" t="str">
        <x:v>P1</x:v>
      </x:c>
      <x:c r="J91" s="73" t="str">
        <x:v>否</x:v>
      </x:c>
      <x:c r="K91" s="73" t="str">
        <x:v>一维瞬态导热+潜热/等效比热</x:v>
      </x:c>
      <x:c r="L91" s="73" t="str">
        <x:v>铸坯几何、拉速、边界热流、物性</x:v>
      </x:c>
      <x:c r="M91" s="73" t="str">
        <x:v>坯壳厚度、温度场、能量残差</x:v>
      </x:c>
      <x:c r="N91" s="73" t="str">
        <x:v>连铸模型必须绑定钢种、断面、设备、喷嘴与传感器配置；高风险报警须人工/联锁规则复核</x:v>
      </x:c>
      <x:c r="O91" s="73" t="str">
        <x:v>planned_unimplemented</x:v>
      </x:c>
      <x:c r="P91" s="73"/>
      <x:c r="Q91" s="73"/>
      <x:c r="R91" s="73"/>
      <x:c r="S91" s="73" t="str">
        <x:v>provisionally_independent</x:v>
      </x:c>
      <x:c r="T91" s="73"/>
      <x:c r="U91" s="73" t="str"/>
      <x:c r="V91" s="73" t="str">
        <x:v>not_used_for_tool_acceptance</x:v>
      </x:c>
      <x:c r="W91" s="73" t="str">
        <x:v>unreviewed</x:v>
      </x:c>
      <x:c r="X91" s="73"/>
      <x:c r="Y91" s="73" t="str">
        <x:f>IF(X91="接受",IF(O91="implemented_tested_unreviewed",IF(S91="provisionally_independent","候选可用","需先完成家族复审"),"缺少实现"),IF(X91="拒绝","排除","未审批"))</x:f>
        <x:v>未审批</x:v>
      </x:c>
      <x:c r="Z91" s="73"/>
      <x:c r="AA91" s="73"/>
      <x:c r="AB91" s="73"/>
      <x:c r="AC91" s="73" t="n">
        <x:v>91</x:v>
      </x:c>
      <x:c r="AD91" s="73" t="str">
        <x:v>DS042钢种/浇次/温度/拉速/水量/质量数据+物性</x:v>
      </x:c>
      <x:c r="AE91" s="73" t="str">
        <x:v>解析解/手算样例/边界值单元测试</x:v>
      </x:c>
      <x:c r="AF91" s="73" t="str">
        <x:v>仅存在于规划清单；不得计入当前可调用工具数。</x:v>
      </x:c>
    </x:row>
    <x:row r="92">
      <x:c r="A92" s="73" t="str">
        <x:v>F006</x:v>
      </x:c>
      <x:c r="B92" s="73" t="str">
        <x:v>连铸质量与二冷</x:v>
      </x:c>
      <x:c r="C92" s="73" t="str">
        <x:v>凝固终点预测</x:v>
      </x:c>
      <x:c r="D92" s="73" t="str">
        <x:v>传热/代理模型</x:v>
      </x:c>
      <x:c r="E92" s="73" t="str">
        <x:v>predict_solidification_end</x:v>
      </x:c>
      <x:c r="F92" s="73"/>
      <x:c r="G92" s="73"/>
      <x:c r="H92" s="73" t="str">
        <x:v>not_implemented</x:v>
      </x:c>
      <x:c r="I92" s="73" t="str">
        <x:v>P1</x:v>
      </x:c>
      <x:c r="J92" s="73" t="str">
        <x:v>可选</x:v>
      </x:c>
      <x:c r="K92" s="73" t="str">
        <x:v>温度场固相率阈值或回归代理</x:v>
      </x:c>
      <x:c r="L92" s="73" t="str">
        <x:v>拉速、过热度、水量、钢种、断面</x:v>
      </x:c>
      <x:c r="M92" s="73" t="str">
        <x:v>凝固终点位置、置信区间</x:v>
      </x:c>
      <x:c r="N92" s="73" t="str">
        <x:v>连铸模型必须绑定钢种、断面、设备、喷嘴与传感器配置；高风险报警须人工/联锁规则复核</x:v>
      </x:c>
      <x:c r="O92" s="73" t="str">
        <x:v>planned_unimplemented</x:v>
      </x:c>
      <x:c r="P92" s="73"/>
      <x:c r="Q92" s="73"/>
      <x:c r="R92" s="73"/>
      <x:c r="S92" s="73" t="str">
        <x:v>provisionally_independent</x:v>
      </x:c>
      <x:c r="T92" s="73"/>
      <x:c r="U92" s="73" t="str"/>
      <x:c r="V92" s="73" t="str">
        <x:v>not_used_for_tool_acceptance</x:v>
      </x:c>
      <x:c r="W92" s="73" t="str">
        <x:v>unreviewed</x:v>
      </x:c>
      <x:c r="X92" s="73"/>
      <x:c r="Y92" s="73" t="str">
        <x:f>IF(X92="接受",IF(O92="implemented_tested_unreviewed",IF(S92="provisionally_independent","候选可用","需先完成家族复审"),"缺少实现"),IF(X92="拒绝","排除","未审批"))</x:f>
        <x:v>未审批</x:v>
      </x:c>
      <x:c r="Z92" s="73"/>
      <x:c r="AA92" s="73"/>
      <x:c r="AB92" s="73"/>
      <x:c r="AC92" s="73" t="n">
        <x:v>92</x:v>
      </x:c>
      <x:c r="AD92" s="73" t="str">
        <x:v>DS042钢种/浇次/温度/拉速/水量/质量数据+物性</x:v>
      </x:c>
      <x:c r="AE92" s="73" t="str">
        <x:v>解析解/手算样例/边界值单元测试</x:v>
      </x:c>
      <x:c r="AF92" s="73" t="str">
        <x:v>仅存在于规划清单；不得计入当前可调用工具数。</x:v>
      </x:c>
    </x:row>
    <x:row r="93">
      <x:c r="A93" s="73" t="str">
        <x:v>F007</x:v>
      </x:c>
      <x:c r="B93" s="73" t="str">
        <x:v>连铸质量与二冷</x:v>
      </x:c>
      <x:c r="C93" s="73" t="str">
        <x:v>结晶器热流计算</x:v>
      </x:c>
      <x:c r="D93" s="73" t="str">
        <x:v>确定性公式/规则</x:v>
      </x:c>
      <x:c r="E93" s="73" t="str">
        <x:v>calc_mold_heat_flux</x:v>
      </x:c>
      <x:c r="F93" s="73"/>
      <x:c r="G93" s="73"/>
      <x:c r="H93" s="73" t="str">
        <x:v>not_implemented</x:v>
      </x:c>
      <x:c r="I93" s="73" t="str">
        <x:v>P1</x:v>
      </x:c>
      <x:c r="J93" s="73" t="str">
        <x:v>否</x:v>
      </x:c>
      <x:c r="K93" s="73" t="str">
        <x:v>冷却水热平衡/热电偶反演/经验关联</x:v>
      </x:c>
      <x:c r="L93" s="73" t="str">
        <x:v>水温流量、铜板温度、铸速</x:v>
      </x:c>
      <x:c r="M93" s="73" t="str">
        <x:v>热流密度、纵向分布</x:v>
      </x:c>
      <x:c r="N93" s="73" t="str">
        <x:v>连铸模型必须绑定钢种、断面、设备、喷嘴与传感器配置；高风险报警须人工/联锁规则复核</x:v>
      </x:c>
      <x:c r="O93" s="73" t="str">
        <x:v>planned_unimplemented</x:v>
      </x:c>
      <x:c r="P93" s="73"/>
      <x:c r="Q93" s="73"/>
      <x:c r="R93" s="73"/>
      <x:c r="S93" s="73" t="str">
        <x:v>provisionally_independent</x:v>
      </x:c>
      <x:c r="T93" s="73"/>
      <x:c r="U93" s="73" t="str"/>
      <x:c r="V93" s="73" t="str">
        <x:v>not_used_for_tool_acceptance</x:v>
      </x:c>
      <x:c r="W93" s="73" t="str">
        <x:v>unreviewed</x:v>
      </x:c>
      <x:c r="X93" s="73"/>
      <x:c r="Y93" s="73" t="str">
        <x:f>IF(X93="接受",IF(O93="implemented_tested_unreviewed",IF(S93="provisionally_independent","候选可用","需先完成家族复审"),"缺少实现"),IF(X93="拒绝","排除","未审批"))</x:f>
        <x:v>未审批</x:v>
      </x:c>
      <x:c r="Z93" s="73"/>
      <x:c r="AA93" s="73"/>
      <x:c r="AB93" s="73"/>
      <x:c r="AC93" s="73" t="n">
        <x:v>93</x:v>
      </x:c>
      <x:c r="AD93" s="73" t="str">
        <x:v>DS042钢种/浇次/温度/拉速/水量/质量数据+物性</x:v>
      </x:c>
      <x:c r="AE93" s="73" t="str">
        <x:v>解析解/手算样例/边界值单元测试</x:v>
      </x:c>
      <x:c r="AF93" s="73" t="str">
        <x:v>仅存在于规划清单；不得计入当前可调用工具数。</x:v>
      </x:c>
    </x:row>
    <x:row r="94">
      <x:c r="A94" s="73" t="str">
        <x:v>F008</x:v>
      </x:c>
      <x:c r="B94" s="73" t="str">
        <x:v>连铸质量与二冷</x:v>
      </x:c>
      <x:c r="C94" s="73" t="str">
        <x:v>二冷总水量计算</x:v>
      </x:c>
      <x:c r="D94" s="73" t="str">
        <x:v>确定性公式/规则</x:v>
      </x:c>
      <x:c r="E94" s="73" t="str">
        <x:v>calc_total_secondary_cooling_water</x:v>
      </x:c>
      <x:c r="F94" s="73"/>
      <x:c r="G94" s="73"/>
      <x:c r="H94" s="73" t="str">
        <x:v>not_implemented</x:v>
      </x:c>
      <x:c r="I94" s="73" t="str">
        <x:v>P1</x:v>
      </x:c>
      <x:c r="J94" s="73" t="str">
        <x:v>否</x:v>
      </x:c>
      <x:c r="K94" s="73" t="str">
        <x:v>目标表面温度/比水量经验模型</x:v>
      </x:c>
      <x:c r="L94" s="73" t="str">
        <x:v>钢种、断面、拉速、目标温度</x:v>
      </x:c>
      <x:c r="M94" s="73" t="str">
        <x:v>总水量、比水量</x:v>
      </x:c>
      <x:c r="N94" s="73" t="str">
        <x:v>连铸模型必须绑定钢种、断面、设备、喷嘴与传感器配置；高风险报警须人工/联锁规则复核</x:v>
      </x:c>
      <x:c r="O94" s="73" t="str">
        <x:v>planned_unimplemented</x:v>
      </x:c>
      <x:c r="P94" s="73"/>
      <x:c r="Q94" s="73"/>
      <x:c r="R94" s="73"/>
      <x:c r="S94" s="73" t="str">
        <x:v>provisionally_independent</x:v>
      </x:c>
      <x:c r="T94" s="73"/>
      <x:c r="U94" s="73" t="str"/>
      <x:c r="V94" s="73" t="str">
        <x:v>not_used_for_tool_acceptance</x:v>
      </x:c>
      <x:c r="W94" s="73" t="str">
        <x:v>unreviewed</x:v>
      </x:c>
      <x:c r="X94" s="73"/>
      <x:c r="Y94" s="73" t="str">
        <x:f>IF(X94="接受",IF(O94="implemented_tested_unreviewed",IF(S94="provisionally_independent","候选可用","需先完成家族复审"),"缺少实现"),IF(X94="拒绝","排除","未审批"))</x:f>
        <x:v>未审批</x:v>
      </x:c>
      <x:c r="Z94" s="73"/>
      <x:c r="AA94" s="73"/>
      <x:c r="AB94" s="73"/>
      <x:c r="AC94" s="73" t="n">
        <x:v>94</x:v>
      </x:c>
      <x:c r="AD94" s="73" t="str">
        <x:v>DS042钢种/浇次/温度/拉速/水量/质量数据+物性</x:v>
      </x:c>
      <x:c r="AE94" s="73" t="str">
        <x:v>解析解/手算样例/边界值单元测试</x:v>
      </x:c>
      <x:c r="AF94" s="73" t="str">
        <x:v>仅存在于规划清单；不得计入当前可调用工具数。</x:v>
      </x:c>
    </x:row>
    <x:row r="95">
      <x:c r="A95" s="73" t="str">
        <x:v>F009</x:v>
      </x:c>
      <x:c r="B95" s="73" t="str">
        <x:v>连铸质量与二冷</x:v>
      </x:c>
      <x:c r="C95" s="73" t="str">
        <x:v>二冷分区水量分配</x:v>
      </x:c>
      <x:c r="D95" s="73" t="str">
        <x:v>约束优化</x:v>
      </x:c>
      <x:c r="E95" s="73" t="str">
        <x:v>allocate_secondary_cooling_water</x:v>
      </x:c>
      <x:c r="F95" s="73"/>
      <x:c r="G95" s="73"/>
      <x:c r="H95" s="73" t="str">
        <x:v>not_implemented</x:v>
      </x:c>
      <x:c r="I95" s="73" t="str">
        <x:v>P1</x:v>
      </x:c>
      <x:c r="J95" s="73" t="str">
        <x:v>否</x:v>
      </x:c>
      <x:c r="K95" s="73" t="str">
        <x:v>各区换热模型+温度/回温约束</x:v>
      </x:c>
      <x:c r="L95" s="73" t="str">
        <x:v>总水量、区段、喷嘴、拉速、目标温度</x:v>
      </x:c>
      <x:c r="M95" s="73" t="str">
        <x:v>分区水量、温度曲线、约束余量</x:v>
      </x:c>
      <x:c r="N95" s="73" t="str">
        <x:v>连铸模型必须绑定钢种、断面、设备、喷嘴与传感器配置；高风险报警须人工/联锁规则复核</x:v>
      </x:c>
      <x:c r="O95" s="73" t="str">
        <x:v>planned_unimplemented</x:v>
      </x:c>
      <x:c r="P95" s="73"/>
      <x:c r="Q95" s="73"/>
      <x:c r="R95" s="73"/>
      <x:c r="S95" s="73" t="str">
        <x:v>provisionally_independent</x:v>
      </x:c>
      <x:c r="T95" s="73"/>
      <x:c r="U95" s="73" t="str"/>
      <x:c r="V95" s="73" t="str">
        <x:v>not_used_for_tool_acceptance</x:v>
      </x:c>
      <x:c r="W95" s="73" t="str">
        <x:v>unreviewed</x:v>
      </x:c>
      <x:c r="X95" s="73"/>
      <x:c r="Y95" s="73" t="str">
        <x:f>IF(X95="接受",IF(O95="implemented_tested_unreviewed",IF(S95="provisionally_independent","候选可用","需先完成家族复审"),"缺少实现"),IF(X95="拒绝","排除","未审批"))</x:f>
        <x:v>未审批</x:v>
      </x:c>
      <x:c r="Z95" s="73"/>
      <x:c r="AA95" s="73"/>
      <x:c r="AB95" s="73"/>
      <x:c r="AC95" s="73" t="n">
        <x:v>95</x:v>
      </x:c>
      <x:c r="AD95" s="73" t="str">
        <x:v>DS042钢种/浇次/温度/拉速/水量/质量数据+物性</x:v>
      </x:c>
      <x:c r="AE95" s="73" t="str">
        <x:v>解析解/手算样例/边界值单元测试</x:v>
      </x:c>
      <x:c r="AF95" s="73" t="str">
        <x:v>仅存在于规划清单；不得计入当前可调用工具数。</x:v>
      </x:c>
    </x:row>
    <x:row r="96">
      <x:c r="A96" s="73" t="str">
        <x:v>F010</x:v>
      </x:c>
      <x:c r="B96" s="73" t="str">
        <x:v>连铸质量与二冷</x:v>
      </x:c>
      <x:c r="C96" s="73" t="str">
        <x:v>反问题换热系数辨识</x:v>
      </x:c>
      <x:c r="D96" s="73" t="str">
        <x:v>反问题/参数辨识</x:v>
      </x:c>
      <x:c r="E96" s="73" t="str">
        <x:v>identify_heat_transfer_coefficient</x:v>
      </x:c>
      <x:c r="F96" s="73"/>
      <x:c r="G96" s="73"/>
      <x:c r="H96" s="73" t="str">
        <x:v>not_implemented</x:v>
      </x:c>
      <x:c r="I96" s="73" t="str">
        <x:v>P1</x:v>
      </x:c>
      <x:c r="J96" s="73" t="str">
        <x:v>否</x:v>
      </x:c>
      <x:c r="K96" s="73" t="str">
        <x:v>最小二乘/贝叶斯反演</x:v>
      </x:c>
      <x:c r="L96" s="73" t="str">
        <x:v>测温、位置、传热模型、先验范围</x:v>
      </x:c>
      <x:c r="M96" s="73" t="str">
        <x:v>换热系数、置信区间、拟合残差</x:v>
      </x:c>
      <x:c r="N96" s="73" t="str">
        <x:v>连铸模型必须绑定钢种、断面、设备、喷嘴与传感器配置；高风险报警须人工/联锁规则复核</x:v>
      </x:c>
      <x:c r="O96" s="73" t="str">
        <x:v>planned_unimplemented</x:v>
      </x:c>
      <x:c r="P96" s="73"/>
      <x:c r="Q96" s="73"/>
      <x:c r="R96" s="73"/>
      <x:c r="S96" s="73" t="str">
        <x:v>provisionally_independent</x:v>
      </x:c>
      <x:c r="T96" s="73"/>
      <x:c r="U96" s="73" t="str"/>
      <x:c r="V96" s="73" t="str">
        <x:v>not_used_for_tool_acceptance</x:v>
      </x:c>
      <x:c r="W96" s="73" t="str">
        <x:v>unreviewed</x:v>
      </x:c>
      <x:c r="X96" s="73"/>
      <x:c r="Y96" s="73" t="str">
        <x:f>IF(X96="接受",IF(O96="implemented_tested_unreviewed",IF(S96="provisionally_independent","候选可用","需先完成家族复审"),"缺少实现"),IF(X96="拒绝","排除","未审批"))</x:f>
        <x:v>未审批</x:v>
      </x:c>
      <x:c r="Z96" s="73"/>
      <x:c r="AA96" s="73"/>
      <x:c r="AB96" s="73"/>
      <x:c r="AC96" s="73" t="n">
        <x:v>96</x:v>
      </x:c>
      <x:c r="AD96" s="73" t="str">
        <x:v>DS042钢种/浇次/温度/拉速/水量/质量数据+物性</x:v>
      </x:c>
      <x:c r="AE96" s="73" t="str">
        <x:v>解析解/手算样例/边界值单元测试</x:v>
      </x:c>
      <x:c r="AF96" s="73" t="str">
        <x:v>仅存在于规划清单；不得计入当前可调用工具数。</x:v>
      </x:c>
    </x:row>
    <x:row r="97">
      <x:c r="A97" s="73" t="str">
        <x:v>F011</x:v>
      </x:c>
      <x:c r="B97" s="73" t="str">
        <x:v>连铸质量与二冷</x:v>
      </x:c>
      <x:c r="C97" s="73" t="str">
        <x:v>拉速优化</x:v>
      </x:c>
      <x:c r="D97" s="73" t="str">
        <x:v>约束优化</x:v>
      </x:c>
      <x:c r="E97" s="73" t="str">
        <x:v>optimize_casting_speed</x:v>
      </x:c>
      <x:c r="F97" s="73"/>
      <x:c r="G97" s="73"/>
      <x:c r="H97" s="73" t="str">
        <x:v>not_implemented</x:v>
      </x:c>
      <x:c r="I97" s="73" t="str">
        <x:v>P1</x:v>
      </x:c>
      <x:c r="J97" s="73" t="str">
        <x:v>否</x:v>
      </x:c>
      <x:c r="K97" s="73" t="str">
        <x:v>产量、凝固终点、温度、质量风险多目标优化</x:v>
      </x:c>
      <x:c r="L97" s="73" t="str">
        <x:v>钢种、断面、温度、水量、设备约束</x:v>
      </x:c>
      <x:c r="M97" s="73" t="str">
        <x:v>拉速建议、风险/产量权衡</x:v>
      </x:c>
      <x:c r="N97" s="73" t="str">
        <x:v>连铸模型必须绑定钢种、断面、设备、喷嘴与传感器配置；高风险报警须人工/联锁规则复核</x:v>
      </x:c>
      <x:c r="O97" s="73" t="str">
        <x:v>planned_unimplemented</x:v>
      </x:c>
      <x:c r="P97" s="73"/>
      <x:c r="Q97" s="73"/>
      <x:c r="R97" s="73"/>
      <x:c r="S97" s="73" t="str">
        <x:v>provisionally_independent</x:v>
      </x:c>
      <x:c r="T97" s="73"/>
      <x:c r="U97" s="73" t="str"/>
      <x:c r="V97" s="73" t="str">
        <x:v>not_used_for_tool_acceptance</x:v>
      </x:c>
      <x:c r="W97" s="73" t="str">
        <x:v>unreviewed</x:v>
      </x:c>
      <x:c r="X97" s="73"/>
      <x:c r="Y97" s="73" t="str">
        <x:f>IF(X97="接受",IF(O97="implemented_tested_unreviewed",IF(S97="provisionally_independent","候选可用","需先完成家族复审"),"缺少实现"),IF(X97="拒绝","排除","未审批"))</x:f>
        <x:v>未审批</x:v>
      </x:c>
      <x:c r="Z97" s="73"/>
      <x:c r="AA97" s="73"/>
      <x:c r="AB97" s="73"/>
      <x:c r="AC97" s="73" t="n">
        <x:v>97</x:v>
      </x:c>
      <x:c r="AD97" s="73" t="str">
        <x:v>DS042钢种/浇次/温度/拉速/水量/质量数据+物性</x:v>
      </x:c>
      <x:c r="AE97" s="73" t="str">
        <x:v>解析解/手算样例/边界值单元测试</x:v>
      </x:c>
      <x:c r="AF97" s="73" t="str">
        <x:v>仅存在于规划清单；不得计入当前可调用工具数。</x:v>
      </x:c>
    </x:row>
    <x:row r="98">
      <x:c r="A98" s="73" t="str">
        <x:v>F012</x:v>
      </x:c>
      <x:c r="B98" s="73" t="str">
        <x:v>连铸质量与二冷</x:v>
      </x:c>
      <x:c r="C98" s="73" t="str">
        <x:v>漏钢风险预测</x:v>
      </x:c>
      <x:c r="D98" s="73" t="str">
        <x:v>时序风险预测</x:v>
      </x:c>
      <x:c r="E98" s="73" t="str">
        <x:v>predict_breakout_risk</x:v>
      </x:c>
      <x:c r="F98" s="73"/>
      <x:c r="G98" s="73"/>
      <x:c r="H98" s="73" t="str">
        <x:v>not_implemented</x:v>
      </x:c>
      <x:c r="I98" s="73" t="str">
        <x:v>P1</x:v>
      </x:c>
      <x:c r="J98" s="73" t="str">
        <x:v>是</x:v>
      </x:c>
      <x:c r="K98" s="73" t="str">
        <x:v>热电偶时空特征+规则+分类模型</x:v>
      </x:c>
      <x:c r="L98" s="73" t="str">
        <x:v>结晶器热电偶、液面、拉速、水量</x:v>
      </x:c>
      <x:c r="M98" s="73" t="str">
        <x:v>漏钢风险、位置、提前量、证据</x:v>
      </x:c>
      <x:c r="N98" s="73" t="str">
        <x:v>连铸模型必须绑定钢种、断面、设备、喷嘴与传感器配置；高风险报警须人工/联锁规则复核</x:v>
      </x:c>
      <x:c r="O98" s="73" t="str">
        <x:v>planned_unimplemented</x:v>
      </x:c>
      <x:c r="P98" s="73"/>
      <x:c r="Q98" s="73"/>
      <x:c r="R98" s="73"/>
      <x:c r="S98" s="73" t="str">
        <x:v>provisionally_independent</x:v>
      </x:c>
      <x:c r="T98" s="73"/>
      <x:c r="U98" s="73" t="str"/>
      <x:c r="V98" s="73" t="str">
        <x:v>not_used_for_tool_acceptance</x:v>
      </x:c>
      <x:c r="W98" s="73" t="str">
        <x:v>unreviewed</x:v>
      </x:c>
      <x:c r="X98" s="73"/>
      <x:c r="Y98" s="73" t="str">
        <x:f>IF(X98="接受",IF(O98="implemented_tested_unreviewed",IF(S98="provisionally_independent","候选可用","需先完成家族复审"),"缺少实现"),IF(X98="拒绝","排除","未审批"))</x:f>
        <x:v>未审批</x:v>
      </x:c>
      <x:c r="Z98" s="73"/>
      <x:c r="AA98" s="73"/>
      <x:c r="AB98" s="73"/>
      <x:c r="AC98" s="73" t="n">
        <x:v>98</x:v>
      </x:c>
      <x:c r="AD98" s="73" t="str">
        <x:v>DS042钢种/浇次/温度/拉速/水量/质量数据+物性</x:v>
      </x:c>
      <x:c r="AE98" s="73" t="str">
        <x:v>历史漏钢/黏结回放+提前量、召回率、误报率</x:v>
      </x:c>
      <x:c r="AF98" s="73" t="str">
        <x:v>仅存在于规划清单；不得计入当前可调用工具数。</x:v>
      </x:c>
    </x:row>
    <x:row r="99">
      <x:c r="A99" s="73" t="str">
        <x:v>F013</x:v>
      </x:c>
      <x:c r="B99" s="73" t="str">
        <x:v>连铸质量与二冷</x:v>
      </x:c>
      <x:c r="C99" s="73" t="str">
        <x:v>液面波动异常检测</x:v>
      </x:c>
      <x:c r="D99" s="73" t="str">
        <x:v>时序异常检测</x:v>
      </x:c>
      <x:c r="E99" s="73" t="str">
        <x:v>detect_mold_level_anomaly</x:v>
      </x:c>
      <x:c r="F99" s="73"/>
      <x:c r="G99" s="73"/>
      <x:c r="H99" s="73" t="str">
        <x:v>not_implemented</x:v>
      </x:c>
      <x:c r="I99" s="73" t="str">
        <x:v>P1</x:v>
      </x:c>
      <x:c r="J99" s="73" t="str">
        <x:v>可选</x:v>
      </x:c>
      <x:c r="K99" s="73" t="str">
        <x:v>滤波、频域特征、变点/孤立森林</x:v>
      </x:c>
      <x:c r="L99" s="73" t="str">
        <x:v>液位时序、塞棒、拉速</x:v>
      </x:c>
      <x:c r="M99" s="73" t="str">
        <x:v>异常片段、频率特征、严重级别</x:v>
      </x:c>
      <x:c r="N99" s="73" t="str">
        <x:v>连铸模型必须绑定钢种、断面、设备、喷嘴与传感器配置；高风险报警须人工/联锁规则复核</x:v>
      </x:c>
      <x:c r="O99" s="73" t="str">
        <x:v>planned_unimplemented</x:v>
      </x:c>
      <x:c r="P99" s="73"/>
      <x:c r="Q99" s="73"/>
      <x:c r="R99" s="73"/>
      <x:c r="S99" s="73" t="str">
        <x:v>provisionally_independent</x:v>
      </x:c>
      <x:c r="T99" s="73"/>
      <x:c r="U99" s="73" t="str"/>
      <x:c r="V99" s="73" t="str">
        <x:v>not_used_for_tool_acceptance</x:v>
      </x:c>
      <x:c r="W99" s="73" t="str">
        <x:v>unreviewed</x:v>
      </x:c>
      <x:c r="X99" s="73"/>
      <x:c r="Y99" s="73" t="str">
        <x:f>IF(X99="接受",IF(O99="implemented_tested_unreviewed",IF(S99="provisionally_independent","候选可用","需先完成家族复审"),"缺少实现"),IF(X99="拒绝","排除","未审批"))</x:f>
        <x:v>未审批</x:v>
      </x:c>
      <x:c r="Z99" s="73"/>
      <x:c r="AA99" s="73"/>
      <x:c r="AB99" s="73"/>
      <x:c r="AC99" s="73" t="n">
        <x:v>99</x:v>
      </x:c>
      <x:c r="AD99" s="73" t="str">
        <x:v>DS042钢种/浇次/温度/拉速/水量/质量数据+物性</x:v>
      </x:c>
      <x:c r="AE99" s="73" t="str">
        <x:v>解析解/手算样例/边界值单元测试</x:v>
      </x:c>
      <x:c r="AF99" s="73" t="str">
        <x:v>仅存在于规划清单；不得计入当前可调用工具数。</x:v>
      </x:c>
    </x:row>
    <x:row r="100">
      <x:c r="A100" s="73" t="str">
        <x:v>F014</x:v>
      </x:c>
      <x:c r="B100" s="73" t="str">
        <x:v>连铸质量与二冷</x:v>
      </x:c>
      <x:c r="C100" s="73" t="str">
        <x:v>铸坯热应力/应变</x:v>
      </x:c>
      <x:c r="D100" s="73" t="str">
        <x:v>有限元/简化力学</x:v>
      </x:c>
      <x:c r="E100" s="73" t="str">
        <x:v>calc_casting_thermal_stress</x:v>
      </x:c>
      <x:c r="F100" s="73"/>
      <x:c r="G100" s="73"/>
      <x:c r="H100" s="73" t="str">
        <x:v>not_implemented</x:v>
      </x:c>
      <x:c r="I100" s="73" t="str">
        <x:v>P1</x:v>
      </x:c>
      <x:c r="J100" s="73" t="str">
        <x:v>否</x:v>
      </x:c>
      <x:c r="K100" s="73" t="str">
        <x:v>温度场驱动热弹塑性/裂纹判据</x:v>
      </x:c>
      <x:c r="L100" s="73" t="str">
        <x:v>温度场、材料高温力学、边界条件</x:v>
      </x:c>
      <x:c r="M100" s="73" t="str">
        <x:v>应力/应变、危险位置</x:v>
      </x:c>
      <x:c r="N100" s="73" t="str">
        <x:v>连铸模型必须绑定钢种、断面、设备、喷嘴与传感器配置；高风险报警须人工/联锁规则复核</x:v>
      </x:c>
      <x:c r="O100" s="73" t="str">
        <x:v>planned_unimplemented</x:v>
      </x:c>
      <x:c r="P100" s="73"/>
      <x:c r="Q100" s="73"/>
      <x:c r="R100" s="73"/>
      <x:c r="S100" s="73" t="str">
        <x:v>provisionally_independent</x:v>
      </x:c>
      <x:c r="T100" s="73"/>
      <x:c r="U100" s="73" t="str"/>
      <x:c r="V100" s="73" t="str">
        <x:v>not_used_for_tool_acceptance</x:v>
      </x:c>
      <x:c r="W100" s="73" t="str">
        <x:v>unreviewed</x:v>
      </x:c>
      <x:c r="X100" s="73"/>
      <x:c r="Y100" s="73" t="str">
        <x:f>IF(X100="接受",IF(O100="implemented_tested_unreviewed",IF(S100="provisionally_independent","候选可用","需先完成家族复审"),"缺少实现"),IF(X100="拒绝","排除","未审批"))</x:f>
        <x:v>未审批</x:v>
      </x:c>
      <x:c r="Z100" s="73"/>
      <x:c r="AA100" s="73"/>
      <x:c r="AB100" s="73"/>
      <x:c r="AC100" s="73" t="n">
        <x:v>100</x:v>
      </x:c>
      <x:c r="AD100" s="73" t="str">
        <x:v>DS042钢种/浇次/温度/拉速/水量/质量数据+物性</x:v>
      </x:c>
      <x:c r="AE100" s="73" t="str">
        <x:v>解析解/手算样例/边界值单元测试</x:v>
      </x:c>
      <x:c r="AF100" s="73" t="str">
        <x:v>仅存在于规划清单；不得计入当前可调用工具数。</x:v>
      </x:c>
    </x:row>
    <x:row r="101">
      <x:c r="A101" s="73" t="str">
        <x:v>F015</x:v>
      </x:c>
      <x:c r="B101" s="73" t="str">
        <x:v>连铸质量与二冷</x:v>
      </x:c>
      <x:c r="C101" s="73" t="str">
        <x:v>表面裂纹敏感性</x:v>
      </x:c>
      <x:c r="D101" s="73" t="str">
        <x:v>机器学习预测</x:v>
      </x:c>
      <x:c r="E101" s="73" t="str">
        <x:v>predict_surface_crack_susceptibility</x:v>
      </x:c>
      <x:c r="F101" s="73"/>
      <x:c r="G101" s="73"/>
      <x:c r="H101" s="73" t="str">
        <x:v>not_implemented</x:v>
      </x:c>
      <x:c r="I101" s="73" t="str">
        <x:v>P2</x:v>
      </x:c>
      <x:c r="J101" s="73" t="str">
        <x:v>是</x:v>
      </x:c>
      <x:c r="K101" s="73" t="str">
        <x:v>工艺+成分+热状态特征的GBDT/分类回归</x:v>
      </x:c>
      <x:c r="L101" s="73" t="str">
        <x:v>钢种、浇铸参数、温度/水量/拉速、质量检测</x:v>
      </x:c>
      <x:c r="M101" s="73" t="str">
        <x:v>质量风险/等级、置信度、主要影响因素</x:v>
      </x:c>
      <x:c r="N101" s="73" t="str">
        <x:v>连铸模型必须绑定钢种、断面、设备、喷嘴与传感器配置；高风险报警须人工/联锁规则复核</x:v>
      </x:c>
      <x:c r="O101" s="73" t="str">
        <x:v>planned_unimplemented</x:v>
      </x:c>
      <x:c r="P101" s="73"/>
      <x:c r="Q101" s="73"/>
      <x:c r="R101" s="73"/>
      <x:c r="S101" s="73" t="str">
        <x:v>needs_family_review</x:v>
      </x:c>
      <x:c r="T101" s="73" t="str">
        <x:v>FG-09</x:v>
      </x:c>
      <x:c r="U101" s="73" t="str">
        <x:v>F015, F016, F017, F020</x:v>
      </x:c>
      <x:c r="V101" s="73" t="str">
        <x:v>not_used_for_tool_acceptance</x:v>
      </x:c>
      <x:c r="W101" s="73" t="str">
        <x:v>unreviewed</x:v>
      </x:c>
      <x:c r="X101" s="73"/>
      <x:c r="Y101" s="73" t="str">
        <x:f>IF(X101="接受",IF(O101="implemented_tested_unreviewed",IF(S101="provisionally_independent","候选可用","需先完成家族复审"),"缺少实现"),IF(X101="拒绝","排除","未审批"))</x:f>
        <x:v>未审批</x:v>
      </x:c>
      <x:c r="Z101" s="73"/>
      <x:c r="AA101" s="73"/>
      <x:c r="AB101" s="73"/>
      <x:c r="AC101" s="73" t="n">
        <x:v>101</x:v>
      </x:c>
      <x:c r="AD101" s="73" t="str">
        <x:v>DS042钢种/浇次/温度/拉速/水量/质量数据+物性</x:v>
      </x:c>
      <x:c r="AE101" s="73" t="str">
        <x:v>独立浇次测试+钢种外推+专家复核</x:v>
      </x:c>
      <x:c r="AF101" s="73" t="str">
        <x:v>仅存在于规划清单；不得计入当前可调用工具数。</x:v>
      </x:c>
    </x:row>
    <x:row r="102">
      <x:c r="A102" s="73" t="str">
        <x:v>F016</x:v>
      </x:c>
      <x:c r="B102" s="73" t="str">
        <x:v>连铸质量与二冷</x:v>
      </x:c>
      <x:c r="C102" s="73" t="str">
        <x:v>中心偏析预测</x:v>
      </x:c>
      <x:c r="D102" s="73" t="str">
        <x:v>机器学习预测</x:v>
      </x:c>
      <x:c r="E102" s="73" t="str">
        <x:v>predict_centerline_segregation</x:v>
      </x:c>
      <x:c r="F102" s="73"/>
      <x:c r="G102" s="73"/>
      <x:c r="H102" s="73" t="str">
        <x:v>not_implemented</x:v>
      </x:c>
      <x:c r="I102" s="73" t="str">
        <x:v>P2</x:v>
      </x:c>
      <x:c r="J102" s="73" t="str">
        <x:v>是</x:v>
      </x:c>
      <x:c r="K102" s="73" t="str">
        <x:v>工艺+成分+热状态特征的GBDT/分类回归</x:v>
      </x:c>
      <x:c r="L102" s="73" t="str">
        <x:v>钢种、浇铸参数、温度/水量/拉速、质量检测</x:v>
      </x:c>
      <x:c r="M102" s="73" t="str">
        <x:v>质量风险/等级、置信度、主要影响因素</x:v>
      </x:c>
      <x:c r="N102" s="73" t="str">
        <x:v>连铸模型必须绑定钢种、断面、设备、喷嘴与传感器配置；高风险报警须人工/联锁规则复核</x:v>
      </x:c>
      <x:c r="O102" s="73" t="str">
        <x:v>planned_unimplemented</x:v>
      </x:c>
      <x:c r="P102" s="73"/>
      <x:c r="Q102" s="73"/>
      <x:c r="R102" s="73"/>
      <x:c r="S102" s="73" t="str">
        <x:v>needs_family_review</x:v>
      </x:c>
      <x:c r="T102" s="73" t="str">
        <x:v>FG-09</x:v>
      </x:c>
      <x:c r="U102" s="73" t="str">
        <x:v>F015, F016, F017, F020</x:v>
      </x:c>
      <x:c r="V102" s="73" t="str">
        <x:v>not_used_for_tool_acceptance</x:v>
      </x:c>
      <x:c r="W102" s="73" t="str">
        <x:v>unreviewed</x:v>
      </x:c>
      <x:c r="X102" s="73"/>
      <x:c r="Y102" s="73" t="str">
        <x:f>IF(X102="接受",IF(O102="implemented_tested_unreviewed",IF(S102="provisionally_independent","候选可用","需先完成家族复审"),"缺少实现"),IF(X102="拒绝","排除","未审批"))</x:f>
        <x:v>未审批</x:v>
      </x:c>
      <x:c r="Z102" s="73"/>
      <x:c r="AA102" s="73"/>
      <x:c r="AB102" s="73"/>
      <x:c r="AC102" s="73" t="n">
        <x:v>102</x:v>
      </x:c>
      <x:c r="AD102" s="73" t="str">
        <x:v>DS042钢种/浇次/温度/拉速/水量/质量数据+物性</x:v>
      </x:c>
      <x:c r="AE102" s="73" t="str">
        <x:v>独立浇次测试+钢种外推+专家复核</x:v>
      </x:c>
      <x:c r="AF102" s="73" t="str">
        <x:v>仅存在于规划清单；不得计入当前可调用工具数。</x:v>
      </x:c>
    </x:row>
    <x:row r="103">
      <x:c r="A103" s="73" t="str">
        <x:v>F017</x:v>
      </x:c>
      <x:c r="B103" s="73" t="str">
        <x:v>连铸质量与二冷</x:v>
      </x:c>
      <x:c r="C103" s="73" t="str">
        <x:v>中心疏松预测</x:v>
      </x:c>
      <x:c r="D103" s="73" t="str">
        <x:v>机器学习预测</x:v>
      </x:c>
      <x:c r="E103" s="73" t="str">
        <x:v>predict_center_porosity</x:v>
      </x:c>
      <x:c r="F103" s="73"/>
      <x:c r="G103" s="73"/>
      <x:c r="H103" s="73" t="str">
        <x:v>not_implemented</x:v>
      </x:c>
      <x:c r="I103" s="73" t="str">
        <x:v>P2</x:v>
      </x:c>
      <x:c r="J103" s="73" t="str">
        <x:v>是</x:v>
      </x:c>
      <x:c r="K103" s="73" t="str">
        <x:v>工艺+成分+热状态特征的GBDT/分类回归</x:v>
      </x:c>
      <x:c r="L103" s="73" t="str">
        <x:v>钢种、浇铸参数、温度/水量/拉速、质量检测</x:v>
      </x:c>
      <x:c r="M103" s="73" t="str">
        <x:v>质量风险/等级、置信度、主要影响因素</x:v>
      </x:c>
      <x:c r="N103" s="73" t="str">
        <x:v>连铸模型必须绑定钢种、断面、设备、喷嘴与传感器配置；高风险报警须人工/联锁规则复核</x:v>
      </x:c>
      <x:c r="O103" s="73" t="str">
        <x:v>planned_unimplemented</x:v>
      </x:c>
      <x:c r="P103" s="73"/>
      <x:c r="Q103" s="73"/>
      <x:c r="R103" s="73"/>
      <x:c r="S103" s="73" t="str">
        <x:v>needs_family_review</x:v>
      </x:c>
      <x:c r="T103" s="73" t="str">
        <x:v>FG-09</x:v>
      </x:c>
      <x:c r="U103" s="73" t="str">
        <x:v>F015, F016, F017, F020</x:v>
      </x:c>
      <x:c r="V103" s="73" t="str">
        <x:v>not_used_for_tool_acceptance</x:v>
      </x:c>
      <x:c r="W103" s="73" t="str">
        <x:v>unreviewed</x:v>
      </x:c>
      <x:c r="X103" s="73"/>
      <x:c r="Y103" s="73" t="str">
        <x:f>IF(X103="接受",IF(O103="implemented_tested_unreviewed",IF(S103="provisionally_independent","候选可用","需先完成家族复审"),"缺少实现"),IF(X103="拒绝","排除","未审批"))</x:f>
        <x:v>未审批</x:v>
      </x:c>
      <x:c r="Z103" s="73"/>
      <x:c r="AA103" s="73"/>
      <x:c r="AB103" s="73"/>
      <x:c r="AC103" s="73" t="n">
        <x:v>103</x:v>
      </x:c>
      <x:c r="AD103" s="73" t="str">
        <x:v>DS042钢种/浇次/温度/拉速/水量/质量数据+物性</x:v>
      </x:c>
      <x:c r="AE103" s="73" t="str">
        <x:v>独立浇次测试+钢种外推+专家复核</x:v>
      </x:c>
      <x:c r="AF103" s="73" t="str">
        <x:v>仅存在于规划清单；不得计入当前可调用工具数。</x:v>
      </x:c>
    </x:row>
    <x:row r="104">
      <x:c r="A104" s="73" t="str">
        <x:v>F018</x:v>
      </x:c>
      <x:c r="B104" s="73" t="str">
        <x:v>连铸质量与二冷</x:v>
      </x:c>
      <x:c r="C104" s="73" t="str">
        <x:v>夹杂物上浮时间</x:v>
      </x:c>
      <x:c r="D104" s="73" t="str">
        <x:v>确定性公式/规则</x:v>
      </x:c>
      <x:c r="E104" s="73" t="str">
        <x:v>calc_inclusion_float_time</x:v>
      </x:c>
      <x:c r="F104" s="73"/>
      <x:c r="G104" s="73"/>
      <x:c r="H104" s="73" t="str">
        <x:v>not_implemented</x:v>
      </x:c>
      <x:c r="I104" s="73" t="str">
        <x:v>P2</x:v>
      </x:c>
      <x:c r="J104" s="73" t="str">
        <x:v>否</x:v>
      </x:c>
      <x:c r="K104" s="73" t="str">
        <x:v>Stokes上浮+流场修正</x:v>
      </x:c>
      <x:c r="L104" s="73" t="str">
        <x:v>夹杂尺寸/密度、钢液物性、流场尺度</x:v>
      </x:c>
      <x:c r="M104" s="73" t="str">
        <x:v>上浮速度、停留时间、捕获概率</x:v>
      </x:c>
      <x:c r="N104" s="73" t="str">
        <x:v>连铸模型必须绑定钢种、断面、设备、喷嘴与传感器配置；高风险报警须人工/联锁规则复核</x:v>
      </x:c>
      <x:c r="O104" s="73" t="str">
        <x:v>planned_unimplemented</x:v>
      </x:c>
      <x:c r="P104" s="73"/>
      <x:c r="Q104" s="73"/>
      <x:c r="R104" s="73"/>
      <x:c r="S104" s="73" t="str">
        <x:v>provisionally_independent</x:v>
      </x:c>
      <x:c r="T104" s="73"/>
      <x:c r="U104" s="73" t="str"/>
      <x:c r="V104" s="73" t="str">
        <x:v>not_used_for_tool_acceptance</x:v>
      </x:c>
      <x:c r="W104" s="73" t="str">
        <x:v>unreviewed</x:v>
      </x:c>
      <x:c r="X104" s="73"/>
      <x:c r="Y104" s="73" t="str">
        <x:f>IF(X104="接受",IF(O104="implemented_tested_unreviewed",IF(S104="provisionally_independent","候选可用","需先完成家族复审"),"缺少实现"),IF(X104="拒绝","排除","未审批"))</x:f>
        <x:v>未审批</x:v>
      </x:c>
      <x:c r="Z104" s="73"/>
      <x:c r="AA104" s="73"/>
      <x:c r="AB104" s="73"/>
      <x:c r="AC104" s="73" t="n">
        <x:v>104</x:v>
      </x:c>
      <x:c r="AD104" s="73" t="str">
        <x:v>DS042钢种/浇次/温度/拉速/水量/质量数据+物性</x:v>
      </x:c>
      <x:c r="AE104" s="73" t="str">
        <x:v>解析解/手算样例/边界值单元测试</x:v>
      </x:c>
      <x:c r="AF104" s="73" t="str">
        <x:v>仅存在于规划清单；不得计入当前可调用工具数。</x:v>
      </x:c>
    </x:row>
    <x:row r="105">
      <x:c r="A105" s="73" t="str">
        <x:v>F019</x:v>
      </x:c>
      <x:c r="B105" s="73" t="str">
        <x:v>连铸质量与二冷</x:v>
      </x:c>
      <x:c r="C105" s="73" t="str">
        <x:v>电磁搅拌效果指数</x:v>
      </x:c>
      <x:c r="D105" s="73" t="str">
        <x:v>指标/代理模型</x:v>
      </x:c>
      <x:c r="E105" s="73" t="str">
        <x:v>calc_ems_effect_index</x:v>
      </x:c>
      <x:c r="F105" s="73"/>
      <x:c r="G105" s="73"/>
      <x:c r="H105" s="73" t="str">
        <x:v>not_implemented</x:v>
      </x:c>
      <x:c r="I105" s="73" t="str">
        <x:v>P2</x:v>
      </x:c>
      <x:c r="J105" s="73" t="str">
        <x:v>可选</x:v>
      </x:c>
      <x:c r="K105" s="73" t="str">
        <x:v>电磁力尺度分析+历史回归</x:v>
      </x:c>
      <x:c r="L105" s="73" t="str">
        <x:v>电流频率、断面、拉速、偏析指标</x:v>
      </x:c>
      <x:c r="M105" s="73" t="str">
        <x:v>搅拌效果指数、推荐区间</x:v>
      </x:c>
      <x:c r="N105" s="73" t="str">
        <x:v>连铸模型必须绑定钢种、断面、设备、喷嘴与传感器配置；高风险报警须人工/联锁规则复核</x:v>
      </x:c>
      <x:c r="O105" s="73" t="str">
        <x:v>planned_unimplemented</x:v>
      </x:c>
      <x:c r="P105" s="73"/>
      <x:c r="Q105" s="73"/>
      <x:c r="R105" s="73"/>
      <x:c r="S105" s="73" t="str">
        <x:v>provisionally_independent</x:v>
      </x:c>
      <x:c r="T105" s="73"/>
      <x:c r="U105" s="73" t="str"/>
      <x:c r="V105" s="73" t="str">
        <x:v>not_used_for_tool_acceptance</x:v>
      </x:c>
      <x:c r="W105" s="73" t="str">
        <x:v>unreviewed</x:v>
      </x:c>
      <x:c r="X105" s="73"/>
      <x:c r="Y105" s="73" t="str">
        <x:f>IF(X105="接受",IF(O105="implemented_tested_unreviewed",IF(S105="provisionally_independent","候选可用","需先完成家族复审"),"缺少实现"),IF(X105="拒绝","排除","未审批"))</x:f>
        <x:v>未审批</x:v>
      </x:c>
      <x:c r="Z105" s="73"/>
      <x:c r="AA105" s="73"/>
      <x:c r="AB105" s="73"/>
      <x:c r="AC105" s="73" t="n">
        <x:v>105</x:v>
      </x:c>
      <x:c r="AD105" s="73" t="str">
        <x:v>DS042钢种/浇次/温度/拉速/水量/质量数据+物性</x:v>
      </x:c>
      <x:c r="AE105" s="73" t="str">
        <x:v>解析解/手算样例/边界值单元测试</x:v>
      </x:c>
      <x:c r="AF105" s="73" t="str">
        <x:v>仅存在于规划清单；不得计入当前可调用工具数。</x:v>
      </x:c>
    </x:row>
    <x:row r="106">
      <x:c r="A106" s="73" t="str">
        <x:v>F020</x:v>
      </x:c>
      <x:c r="B106" s="73" t="str">
        <x:v>连铸质量与二冷</x:v>
      </x:c>
      <x:c r="C106" s="73" t="str">
        <x:v>铸坯质量分类</x:v>
      </x:c>
      <x:c r="D106" s="73" t="str">
        <x:v>机器学习预测</x:v>
      </x:c>
      <x:c r="E106" s="73" t="str">
        <x:v>classify_cast_product_quality</x:v>
      </x:c>
      <x:c r="F106" s="73"/>
      <x:c r="G106" s="73"/>
      <x:c r="H106" s="73" t="str">
        <x:v>not_implemented</x:v>
      </x:c>
      <x:c r="I106" s="73" t="str">
        <x:v>P2</x:v>
      </x:c>
      <x:c r="J106" s="73" t="str">
        <x:v>是</x:v>
      </x:c>
      <x:c r="K106" s="73" t="str">
        <x:v>工艺+成分+热状态特征的GBDT/分类回归</x:v>
      </x:c>
      <x:c r="L106" s="73" t="str">
        <x:v>钢种、浇铸参数、温度/水量/拉速、质量检测</x:v>
      </x:c>
      <x:c r="M106" s="73" t="str">
        <x:v>质量风险/等级、置信度、主要影响因素</x:v>
      </x:c>
      <x:c r="N106" s="73" t="str">
        <x:v>连铸模型必须绑定钢种、断面、设备、喷嘴与传感器配置；高风险报警须人工/联锁规则复核</x:v>
      </x:c>
      <x:c r="O106" s="73" t="str">
        <x:v>planned_unimplemented</x:v>
      </x:c>
      <x:c r="P106" s="73"/>
      <x:c r="Q106" s="73"/>
      <x:c r="R106" s="73"/>
      <x:c r="S106" s="73" t="str">
        <x:v>needs_family_review</x:v>
      </x:c>
      <x:c r="T106" s="73" t="str">
        <x:v>FG-09</x:v>
      </x:c>
      <x:c r="U106" s="73" t="str">
        <x:v>F015, F016, F017, F020</x:v>
      </x:c>
      <x:c r="V106" s="73" t="str">
        <x:v>not_used_for_tool_acceptance</x:v>
      </x:c>
      <x:c r="W106" s="73" t="str">
        <x:v>unreviewed</x:v>
      </x:c>
      <x:c r="X106" s="73"/>
      <x:c r="Y106" s="73" t="str">
        <x:f>IF(X106="接受",IF(O106="implemented_tested_unreviewed",IF(S106="provisionally_independent","候选可用","需先完成家族复审"),"缺少实现"),IF(X106="拒绝","排除","未审批"))</x:f>
        <x:v>未审批</x:v>
      </x:c>
      <x:c r="Z106" s="73"/>
      <x:c r="AA106" s="73"/>
      <x:c r="AB106" s="73"/>
      <x:c r="AC106" s="73" t="n">
        <x:v>106</x:v>
      </x:c>
      <x:c r="AD106" s="73" t="str">
        <x:v>DS042钢种/浇次/温度/拉速/水量/质量数据+物性</x:v>
      </x:c>
      <x:c r="AE106" s="73" t="str">
        <x:v>独立浇次测试+钢种外推+专家复核</x:v>
      </x:c>
      <x:c r="AF106" s="73" t="str">
        <x:v>仅存在于规划清单；不得计入当前可调用工具数。</x:v>
      </x:c>
    </x:row>
    <x:row r="107">
      <x:c r="A107" s="73" t="str">
        <x:v>G001</x:v>
      </x:c>
      <x:c r="B107" s="73" t="str">
        <x:v>仿真/优化/智能体支撑</x:v>
      </x:c>
      <x:c r="C107" s="73" t="str">
        <x:v>网格尺度估计</x:v>
      </x:c>
      <x:c r="D107" s="73" t="str">
        <x:v>确定性公式/规则</x:v>
      </x:c>
      <x:c r="E107" s="73" t="str">
        <x:v>estimate_mesh_resolution</x:v>
      </x:c>
      <x:c r="F107" s="73"/>
      <x:c r="G107" s="73"/>
      <x:c r="H107" s="73" t="str">
        <x:v>not_implemented</x:v>
      </x:c>
      <x:c r="I107" s="73" t="str">
        <x:v>P1</x:v>
      </x:c>
      <x:c r="J107" s="73" t="str">
        <x:v>否</x:v>
      </x:c>
      <x:c r="K107" s="73" t="str">
        <x:v>边界层/温度梯度尺度+网格无关性规则</x:v>
      </x:c>
      <x:c r="L107" s="73" t="str">
        <x:v>几何、物性、速度、目标误差</x:v>
      </x:c>
      <x:c r="M107" s="73" t="str">
        <x:v>建议网格尺寸、层数、验证计划</x:v>
      </x:c>
      <x:c r="N107" s="73" t="str">
        <x:v>所有仿真与优化工具必须返回收敛状态、约束违反、软件版本、运行日志和可复现实验清单</x:v>
      </x:c>
      <x:c r="O107" s="73" t="str">
        <x:v>planned_unimplemented</x:v>
      </x:c>
      <x:c r="P107" s="73"/>
      <x:c r="Q107" s="73"/>
      <x:c r="R107" s="73"/>
      <x:c r="S107" s="73" t="str">
        <x:v>provisionally_independent</x:v>
      </x:c>
      <x:c r="T107" s="73"/>
      <x:c r="U107" s="73" t="str"/>
      <x:c r="V107" s="73" t="str">
        <x:v>not_used_for_tool_acceptance</x:v>
      </x:c>
      <x:c r="W107" s="73" t="str">
        <x:v>unreviewed</x:v>
      </x:c>
      <x:c r="X107" s="73"/>
      <x:c r="Y107" s="73" t="str">
        <x:f>IF(X107="接受",IF(O107="implemented_tested_unreviewed",IF(S107="provisionally_independent","候选可用","需先完成家族复审"),"缺少实现"),IF(X107="拒绝","排除","未审批"))</x:f>
        <x:v>未审批</x:v>
      </x:c>
      <x:c r="Z107" s="73"/>
      <x:c r="AA107" s="73"/>
      <x:c r="AB107" s="73"/>
      <x:c r="AC107" s="73" t="n">
        <x:v>107</x:v>
      </x:c>
      <x:c r="AD107" s="73" t="str">
        <x:v>公开基础数据+项目数据字典</x:v>
      </x:c>
      <x:c r="AE107" s="73" t="str">
        <x:v>解析解/手算样例/边界值单元测试</x:v>
      </x:c>
      <x:c r="AF107" s="73" t="str">
        <x:v>仅存在于规划清单；不得计入当前可调用工具数。</x:v>
      </x:c>
    </x:row>
    <x:row r="108">
      <x:c r="A108" s="73" t="str">
        <x:v>G002</x:v>
      </x:c>
      <x:c r="B108" s="73" t="str">
        <x:v>仿真/优化/智能体支撑</x:v>
      </x:c>
      <x:c r="C108" s="73" t="str">
        <x:v>时间步与CFL校验</x:v>
      </x:c>
      <x:c r="D108" s="73" t="str">
        <x:v>确定性公式/规则</x:v>
      </x:c>
      <x:c r="E108" s="73" t="str">
        <x:v>check_time_step_cfl</x:v>
      </x:c>
      <x:c r="F108" s="73"/>
      <x:c r="G108" s="73"/>
      <x:c r="H108" s="73" t="str">
        <x:v>not_implemented</x:v>
      </x:c>
      <x:c r="I108" s="73" t="str">
        <x:v>P1</x:v>
      </x:c>
      <x:c r="J108" s="73" t="str">
        <x:v>否</x:v>
      </x:c>
      <x:c r="K108" s="73" t="str">
        <x:v>CFL/Fourier数/扩散稳定性条件</x:v>
      </x:c>
      <x:c r="L108" s="73" t="str">
        <x:v>网格、速度、扩散率、求解器</x:v>
      </x:c>
      <x:c r="M108" s="73" t="str">
        <x:v>最大时间步、稳定性诊断</x:v>
      </x:c>
      <x:c r="N108" s="73" t="str">
        <x:v>所有仿真与优化工具必须返回收敛状态、约束违反、软件版本、运行日志和可复现实验清单</x:v>
      </x:c>
      <x:c r="O108" s="73" t="str">
        <x:v>planned_unimplemented</x:v>
      </x:c>
      <x:c r="P108" s="73"/>
      <x:c r="Q108" s="73"/>
      <x:c r="R108" s="73"/>
      <x:c r="S108" s="73" t="str">
        <x:v>provisionally_independent</x:v>
      </x:c>
      <x:c r="T108" s="73"/>
      <x:c r="U108" s="73" t="str"/>
      <x:c r="V108" s="73" t="str">
        <x:v>not_used_for_tool_acceptance</x:v>
      </x:c>
      <x:c r="W108" s="73" t="str">
        <x:v>unreviewed</x:v>
      </x:c>
      <x:c r="X108" s="73"/>
      <x:c r="Y108" s="73" t="str">
        <x:f>IF(X108="接受",IF(O108="implemented_tested_unreviewed",IF(S108="provisionally_independent","候选可用","需先完成家族复审"),"缺少实现"),IF(X108="拒绝","排除","未审批"))</x:f>
        <x:v>未审批</x:v>
      </x:c>
      <x:c r="Z108" s="73"/>
      <x:c r="AA108" s="73"/>
      <x:c r="AB108" s="73"/>
      <x:c r="AC108" s="73" t="n">
        <x:v>108</x:v>
      </x:c>
      <x:c r="AD108" s="73" t="str">
        <x:v>公开基础数据+项目数据字典</x:v>
      </x:c>
      <x:c r="AE108" s="73" t="str">
        <x:v>解析解/手算样例/边界值单元测试</x:v>
      </x:c>
      <x:c r="AF108" s="73" t="str">
        <x:v>仅存在于规划清单；不得计入当前可调用工具数。</x:v>
      </x:c>
    </x:row>
    <x:row r="109">
      <x:c r="A109" s="73" t="str">
        <x:v>G003</x:v>
      </x:c>
      <x:c r="B109" s="73" t="str">
        <x:v>仿真/优化/智能体支撑</x:v>
      </x:c>
      <x:c r="C109" s="73" t="str">
        <x:v>一维传热PDE求解</x:v>
      </x:c>
      <x:c r="D109" s="73" t="str">
        <x:v>PDE求解</x:v>
      </x:c>
      <x:c r="E109" s="73" t="str">
        <x:v>solve_heat_pde_1d</x:v>
      </x:c>
      <x:c r="F109" s="73"/>
      <x:c r="G109" s="73"/>
      <x:c r="H109" s="73" t="str">
        <x:v>not_implemented</x:v>
      </x:c>
      <x:c r="I109" s="73" t="str">
        <x:v>P1</x:v>
      </x:c>
      <x:c r="J109" s="73" t="str">
        <x:v>否</x:v>
      </x:c>
      <x:c r="K109" s="73" t="str">
        <x:v>一维导热有限差分/有限体积</x:v>
      </x:c>
      <x:c r="L109" s="73" t="str">
        <x:v>几何、物性、热源、初边值</x:v>
      </x:c>
      <x:c r="M109" s="73" t="str">
        <x:v>温度场、热流、能量闭合</x:v>
      </x:c>
      <x:c r="N109" s="73" t="str">
        <x:v>所有仿真与优化工具必须返回收敛状态、约束违反、软件版本、运行日志和可复现实验清单</x:v>
      </x:c>
      <x:c r="O109" s="73" t="str">
        <x:v>planned_unimplemented</x:v>
      </x:c>
      <x:c r="P109" s="73"/>
      <x:c r="Q109" s="73"/>
      <x:c r="R109" s="73"/>
      <x:c r="S109" s="73" t="str">
        <x:v>provisionally_independent</x:v>
      </x:c>
      <x:c r="T109" s="73"/>
      <x:c r="U109" s="73" t="str"/>
      <x:c r="V109" s="73" t="str">
        <x:v>not_used_for_tool_acceptance</x:v>
      </x:c>
      <x:c r="W109" s="73" t="str">
        <x:v>unreviewed</x:v>
      </x:c>
      <x:c r="X109" s="73"/>
      <x:c r="Y109" s="73" t="str">
        <x:f>IF(X109="接受",IF(O109="implemented_tested_unreviewed",IF(S109="provisionally_independent","候选可用","需先完成家族复审"),"缺少实现"),IF(X109="拒绝","排除","未审批"))</x:f>
        <x:v>未审批</x:v>
      </x:c>
      <x:c r="Z109" s="73"/>
      <x:c r="AA109" s="73"/>
      <x:c r="AB109" s="73"/>
      <x:c r="AC109" s="73" t="n">
        <x:v>109</x:v>
      </x:c>
      <x:c r="AD109" s="73" t="str">
        <x:v>公开基础数据+项目数据字典</x:v>
      </x:c>
      <x:c r="AE109" s="73" t="str">
        <x:v>解析解/手算样例/边界值单元测试</x:v>
      </x:c>
      <x:c r="AF109" s="73" t="str">
        <x:v>仅存在于规划清单；不得计入当前可调用工具数。</x:v>
      </x:c>
    </x:row>
    <x:row r="110">
      <x:c r="A110" s="73" t="str">
        <x:v>G004</x:v>
      </x:c>
      <x:c r="B110" s="73" t="str">
        <x:v>仿真/优化/智能体支撑</x:v>
      </x:c>
      <x:c r="C110" s="73" t="str">
        <x:v>反应ODE求解</x:v>
      </x:c>
      <x:c r="D110" s="73" t="str">
        <x:v>ODE求解</x:v>
      </x:c>
      <x:c r="E110" s="73" t="str">
        <x:v>solve_reaction_ode</x:v>
      </x:c>
      <x:c r="F110" s="73"/>
      <x:c r="G110" s="73"/>
      <x:c r="H110" s="73" t="str">
        <x:v>not_implemented</x:v>
      </x:c>
      <x:c r="I110" s="73" t="str">
        <x:v>P2</x:v>
      </x:c>
      <x:c r="J110" s="73" t="str">
        <x:v>否</x:v>
      </x:c>
      <x:c r="K110" s="73" t="str">
        <x:v>刚性/非刚性ODE自适应积分</x:v>
      </x:c>
      <x:c r="L110" s="73" t="str">
        <x:v>反应网络、速率、初值、时间区间</x:v>
      </x:c>
      <x:c r="M110" s="73" t="str">
        <x:v>状态轨迹、事件、收敛信息</x:v>
      </x:c>
      <x:c r="N110" s="73" t="str">
        <x:v>所有仿真与优化工具必须返回收敛状态、约束违反、软件版本、运行日志和可复现实验清单</x:v>
      </x:c>
      <x:c r="O110" s="73" t="str">
        <x:v>planned_unimplemented</x:v>
      </x:c>
      <x:c r="P110" s="73"/>
      <x:c r="Q110" s="73"/>
      <x:c r="R110" s="73"/>
      <x:c r="S110" s="73" t="str">
        <x:v>provisionally_independent</x:v>
      </x:c>
      <x:c r="T110" s="73"/>
      <x:c r="U110" s="73" t="str"/>
      <x:c r="V110" s="73" t="str">
        <x:v>not_used_for_tool_acceptance</x:v>
      </x:c>
      <x:c r="W110" s="73" t="str">
        <x:v>unreviewed</x:v>
      </x:c>
      <x:c r="X110" s="73"/>
      <x:c r="Y110" s="73" t="str">
        <x:f>IF(X110="接受",IF(O110="implemented_tested_unreviewed",IF(S110="provisionally_independent","候选可用","需先完成家族复审"),"缺少实现"),IF(X110="拒绝","排除","未审批"))</x:f>
        <x:v>未审批</x:v>
      </x:c>
      <x:c r="Z110" s="73"/>
      <x:c r="AA110" s="73"/>
      <x:c r="AB110" s="73"/>
      <x:c r="AC110" s="73" t="n">
        <x:v>110</x:v>
      </x:c>
      <x:c r="AD110" s="73" t="str">
        <x:v>公开基础数据+项目数据字典</x:v>
      </x:c>
      <x:c r="AE110" s="73" t="str">
        <x:v>解析解/手算样例/边界值单元测试</x:v>
      </x:c>
      <x:c r="AF110" s="73" t="str">
        <x:v>仅存在于规划清单；不得计入当前可调用工具数。</x:v>
      </x:c>
    </x:row>
    <x:row r="111">
      <x:c r="A111" s="73" t="str">
        <x:v>G005</x:v>
      </x:c>
      <x:c r="B111" s="73" t="str">
        <x:v>仿真/优化/智能体支撑</x:v>
      </x:c>
      <x:c r="C111" s="73" t="str">
        <x:v>CFD参数化案例生成</x:v>
      </x:c>
      <x:c r="D111" s="73" t="str">
        <x:v>软件编排工具</x:v>
      </x:c>
      <x:c r="E111" s="73" t="str">
        <x:v>generate_cfd_case</x:v>
      </x:c>
      <x:c r="F111" s="73"/>
      <x:c r="G111" s="73"/>
      <x:c r="H111" s="73" t="str">
        <x:v>not_implemented</x:v>
      </x:c>
      <x:c r="I111" s="73" t="str">
        <x:v>P2</x:v>
      </x:c>
      <x:c r="J111" s="73" t="str">
        <x:v>否</x:v>
      </x:c>
      <x:c r="K111" s="73" t="str">
        <x:v>模板渲染+参数/边界条件校验</x:v>
      </x:c>
      <x:c r="L111" s="73" t="str">
        <x:v>几何模板、物性、工况、求解器设置</x:v>
      </x:c>
      <x:c r="M111" s="73" t="str">
        <x:v>可运行CFD案例目录、manifest</x:v>
      </x:c>
      <x:c r="N111" s="73" t="str">
        <x:v>所有仿真与优化工具必须返回收敛状态、约束违反、软件版本、运行日志和可复现实验清单</x:v>
      </x:c>
      <x:c r="O111" s="73" t="str">
        <x:v>planned_unimplemented</x:v>
      </x:c>
      <x:c r="P111" s="73"/>
      <x:c r="Q111" s="73"/>
      <x:c r="R111" s="73"/>
      <x:c r="S111" s="73" t="str">
        <x:v>provisionally_independent</x:v>
      </x:c>
      <x:c r="T111" s="73"/>
      <x:c r="U111" s="73" t="str"/>
      <x:c r="V111" s="73" t="str">
        <x:v>not_used_for_tool_acceptance</x:v>
      </x:c>
      <x:c r="W111" s="73" t="str">
        <x:v>unreviewed</x:v>
      </x:c>
      <x:c r="X111" s="73"/>
      <x:c r="Y111" s="73" t="str">
        <x:f>IF(X111="接受",IF(O111="implemented_tested_unreviewed",IF(S111="provisionally_independent","候选可用","需先完成家族复审"),"缺少实现"),IF(X111="拒绝","排除","未审批"))</x:f>
        <x:v>未审批</x:v>
      </x:c>
      <x:c r="Z111" s="73"/>
      <x:c r="AA111" s="73"/>
      <x:c r="AB111" s="73"/>
      <x:c r="AC111" s="73" t="n">
        <x:v>111</x:v>
      </x:c>
      <x:c r="AD111" s="73" t="str">
        <x:v>公开基础数据+项目数据字典</x:v>
      </x:c>
      <x:c r="AE111" s="73" t="str">
        <x:v>解析解/手算样例/边界值单元测试</x:v>
      </x:c>
      <x:c r="AF111" s="73" t="str">
        <x:v>仅存在于规划清单；不得计入当前可调用工具数。</x:v>
      </x:c>
    </x:row>
    <x:row r="112">
      <x:c r="A112" s="73" t="str">
        <x:v>G006</x:v>
      </x:c>
      <x:c r="B112" s="73" t="str">
        <x:v>仿真/优化/智能体支撑</x:v>
      </x:c>
      <x:c r="C112" s="73" t="str">
        <x:v>参数化仿真批处理</x:v>
      </x:c>
      <x:c r="D112" s="73" t="str">
        <x:v>批处理编排</x:v>
      </x:c>
      <x:c r="E112" s="73" t="str">
        <x:v>run_parametric_simulation_batch</x:v>
      </x:c>
      <x:c r="F112" s="73"/>
      <x:c r="G112" s="73"/>
      <x:c r="H112" s="73" t="str">
        <x:v>not_implemented</x:v>
      </x:c>
      <x:c r="I112" s="73" t="str">
        <x:v>P2</x:v>
      </x:c>
      <x:c r="J112" s="73" t="str">
        <x:v>否</x:v>
      </x:c>
      <x:c r="K112" s="73" t="str">
        <x:v>参数网格/试验设计+容器队列+失败重试</x:v>
      </x:c>
      <x:c r="L112" s="73" t="str">
        <x:v>案例模板、参数空间、资源配额</x:v>
      </x:c>
      <x:c r="M112" s="73" t="str">
        <x:v>运行状态、结果索引、失败原因</x:v>
      </x:c>
      <x:c r="N112" s="73" t="str">
        <x:v>所有仿真与优化工具必须返回收敛状态、约束违反、软件版本、运行日志和可复现实验清单</x:v>
      </x:c>
      <x:c r="O112" s="73" t="str">
        <x:v>planned_unimplemented</x:v>
      </x:c>
      <x:c r="P112" s="73"/>
      <x:c r="Q112" s="73"/>
      <x:c r="R112" s="73"/>
      <x:c r="S112" s="73" t="str">
        <x:v>provisionally_independent</x:v>
      </x:c>
      <x:c r="T112" s="73"/>
      <x:c r="U112" s="73" t="str"/>
      <x:c r="V112" s="73" t="str">
        <x:v>not_used_for_tool_acceptance</x:v>
      </x:c>
      <x:c r="W112" s="73" t="str">
        <x:v>unreviewed</x:v>
      </x:c>
      <x:c r="X112" s="73"/>
      <x:c r="Y112" s="73" t="str">
        <x:f>IF(X112="接受",IF(O112="implemented_tested_unreviewed",IF(S112="provisionally_independent","候选可用","需先完成家族复审"),"缺少实现"),IF(X112="拒绝","排除","未审批"))</x:f>
        <x:v>未审批</x:v>
      </x:c>
      <x:c r="Z112" s="73"/>
      <x:c r="AA112" s="73"/>
      <x:c r="AB112" s="73"/>
      <x:c r="AC112" s="73" t="n">
        <x:v>112</x:v>
      </x:c>
      <x:c r="AD112" s="73" t="str">
        <x:v>公开基础数据+项目数据字典</x:v>
      </x:c>
      <x:c r="AE112" s="73" t="str">
        <x:v>解析解/手算样例/边界值单元测试</x:v>
      </x:c>
      <x:c r="AF112" s="73" t="str">
        <x:v>仅存在于规划清单；不得计入当前可调用工具数。</x:v>
      </x:c>
    </x:row>
    <x:row r="113">
      <x:c r="A113" s="73" t="str">
        <x:v>G007</x:v>
      </x:c>
      <x:c r="B113" s="73" t="str">
        <x:v>仿真/优化/智能体支撑</x:v>
      </x:c>
      <x:c r="C113" s="73" t="str">
        <x:v>降阶/代理模型</x:v>
      </x:c>
      <x:c r="D113" s="73" t="str">
        <x:v>机器学习代理</x:v>
      </x:c>
      <x:c r="E113" s="73" t="str">
        <x:v>train_surrogate_model</x:v>
      </x:c>
      <x:c r="F113" s="73"/>
      <x:c r="G113" s="73"/>
      <x:c r="H113" s="73" t="str">
        <x:v>not_implemented</x:v>
      </x:c>
      <x:c r="I113" s="73" t="str">
        <x:v>P2</x:v>
      </x:c>
      <x:c r="J113" s="73" t="str">
        <x:v>是</x:v>
      </x:c>
      <x:c r="K113" s="73" t="str">
        <x:v>高斯过程/GBDT/神经网络降阶</x:v>
      </x:c>
      <x:c r="L113" s="73" t="str">
        <x:v>仿真/实验输入输出</x:v>
      </x:c>
      <x:c r="M113" s="73" t="str">
        <x:v>快速预测、置信区间、适用域</x:v>
      </x:c>
      <x:c r="N113" s="73" t="str">
        <x:v>所有仿真与优化工具必须返回收敛状态、约束违反、软件版本、运行日志和可复现实验清单</x:v>
      </x:c>
      <x:c r="O113" s="73" t="str">
        <x:v>planned_unimplemented</x:v>
      </x:c>
      <x:c r="P113" s="73"/>
      <x:c r="Q113" s="73"/>
      <x:c r="R113" s="73"/>
      <x:c r="S113" s="73" t="str">
        <x:v>provisionally_independent</x:v>
      </x:c>
      <x:c r="T113" s="73"/>
      <x:c r="U113" s="73" t="str"/>
      <x:c r="V113" s="73" t="str">
        <x:v>not_used_for_tool_acceptance</x:v>
      </x:c>
      <x:c r="W113" s="73" t="str">
        <x:v>unreviewed</x:v>
      </x:c>
      <x:c r="X113" s="73"/>
      <x:c r="Y113" s="73" t="str">
        <x:f>IF(X113="接受",IF(O113="implemented_tested_unreviewed",IF(S113="provisionally_independent","候选可用","需先完成家族复审"),"缺少实现"),IF(X113="拒绝","排除","未审批"))</x:f>
        <x:v>未审批</x:v>
      </x:c>
      <x:c r="Z113" s="73"/>
      <x:c r="AA113" s="73"/>
      <x:c r="AB113" s="73"/>
      <x:c r="AC113" s="73" t="n">
        <x:v>113</x:v>
      </x:c>
      <x:c r="AD113" s="73" t="str">
        <x:v>公开基础数据+项目数据字典</x:v>
      </x:c>
      <x:c r="AE113" s="73" t="str">
        <x:v>留出工况+外推测试+与高保真仿真误差</x:v>
      </x:c>
      <x:c r="AF113" s="73" t="str">
        <x:v>仅存在于规划清单；不得计入当前可调用工具数。</x:v>
      </x:c>
    </x:row>
    <x:row r="114">
      <x:c r="A114" s="73" t="str">
        <x:v>G008</x:v>
      </x:c>
      <x:c r="B114" s="73" t="str">
        <x:v>仿真/优化/智能体支撑</x:v>
      </x:c>
      <x:c r="C114" s="73" t="str">
        <x:v>插值与查表服务</x:v>
      </x:c>
      <x:c r="D114" s="73" t="str">
        <x:v>数据服务</x:v>
      </x:c>
      <x:c r="E114" s="73" t="str">
        <x:v>interpolate_lookup_table</x:v>
      </x:c>
      <x:c r="F114" s="73"/>
      <x:c r="G114" s="73"/>
      <x:c r="H114" s="73" t="str">
        <x:v>not_implemented</x:v>
      </x:c>
      <x:c r="I114" s="73" t="str">
        <x:v>P2</x:v>
      </x:c>
      <x:c r="J114" s="73" t="str">
        <x:v>否</x:v>
      </x:c>
      <x:c r="K114" s="73" t="str">
        <x:v>多维规则网格/散点插值+缓存</x:v>
      </x:c>
      <x:c r="L114" s="73" t="str">
        <x:v>查询点、表格版本、外推策略</x:v>
      </x:c>
      <x:c r="M114" s="73" t="str">
        <x:v>插值值、距离、是否外推</x:v>
      </x:c>
      <x:c r="N114" s="73" t="str">
        <x:v>所有仿真与优化工具必须返回收敛状态、约束违反、软件版本、运行日志和可复现实验清单</x:v>
      </x:c>
      <x:c r="O114" s="73" t="str">
        <x:v>planned_unimplemented</x:v>
      </x:c>
      <x:c r="P114" s="73"/>
      <x:c r="Q114" s="73"/>
      <x:c r="R114" s="73"/>
      <x:c r="S114" s="73" t="str">
        <x:v>provisionally_independent</x:v>
      </x:c>
      <x:c r="T114" s="73"/>
      <x:c r="U114" s="73" t="str"/>
      <x:c r="V114" s="73" t="str">
        <x:v>not_used_for_tool_acceptance</x:v>
      </x:c>
      <x:c r="W114" s="73" t="str">
        <x:v>unreviewed</x:v>
      </x:c>
      <x:c r="X114" s="73"/>
      <x:c r="Y114" s="73" t="str">
        <x:f>IF(X114="接受",IF(O114="implemented_tested_unreviewed",IF(S114="provisionally_independent","候选可用","需先完成家族复审"),"缺少实现"),IF(X114="拒绝","排除","未审批"))</x:f>
        <x:v>未审批</x:v>
      </x:c>
      <x:c r="Z114" s="73"/>
      <x:c r="AA114" s="73"/>
      <x:c r="AB114" s="73"/>
      <x:c r="AC114" s="73" t="n">
        <x:v>114</x:v>
      </x:c>
      <x:c r="AD114" s="73" t="str">
        <x:v>公开基础数据+项目数据字典</x:v>
      </x:c>
      <x:c r="AE114" s="73" t="str">
        <x:v>解析解/手算样例/边界值单元测试</x:v>
      </x:c>
      <x:c r="AF114" s="73" t="str">
        <x:v>仅存在于规划清单；不得计入当前可调用工具数。</x:v>
      </x:c>
    </x:row>
    <x:row r="115">
      <x:c r="A115" s="73" t="str">
        <x:v>G009</x:v>
      </x:c>
      <x:c r="B115" s="73" t="str">
        <x:v>仿真/优化/智能体支撑</x:v>
      </x:c>
      <x:c r="C115" s="73" t="str">
        <x:v>敏感性分析</x:v>
      </x:c>
      <x:c r="D115" s="73" t="str">
        <x:v>分析工具</x:v>
      </x:c>
      <x:c r="E115" s="73" t="str">
        <x:v>run_sensitivity_analysis</x:v>
      </x:c>
      <x:c r="F115" s="73"/>
      <x:c r="G115" s="73"/>
      <x:c r="H115" s="73" t="str">
        <x:v>not_implemented</x:v>
      </x:c>
      <x:c r="I115" s="73" t="str">
        <x:v>P2</x:v>
      </x:c>
      <x:c r="J115" s="73" t="str">
        <x:v>否</x:v>
      </x:c>
      <x:c r="K115" s="73" t="str">
        <x:v>局部导数、Morris/Sobol可选</x:v>
      </x:c>
      <x:c r="L115" s="73" t="str">
        <x:v>模型、参数范围、采样预算</x:v>
      </x:c>
      <x:c r="M115" s="73" t="str">
        <x:v>敏感度排序、交互效应</x:v>
      </x:c>
      <x:c r="N115" s="73" t="str">
        <x:v>所有仿真与优化工具必须返回收敛状态、约束违反、软件版本、运行日志和可复现实验清单</x:v>
      </x:c>
      <x:c r="O115" s="73" t="str">
        <x:v>planned_unimplemented</x:v>
      </x:c>
      <x:c r="P115" s="73"/>
      <x:c r="Q115" s="73"/>
      <x:c r="R115" s="73"/>
      <x:c r="S115" s="73" t="str">
        <x:v>provisionally_independent</x:v>
      </x:c>
      <x:c r="T115" s="73"/>
      <x:c r="U115" s="73" t="str"/>
      <x:c r="V115" s="73" t="str">
        <x:v>not_used_for_tool_acceptance</x:v>
      </x:c>
      <x:c r="W115" s="73" t="str">
        <x:v>unreviewed</x:v>
      </x:c>
      <x:c r="X115" s="73"/>
      <x:c r="Y115" s="73" t="str">
        <x:f>IF(X115="接受",IF(O115="implemented_tested_unreviewed",IF(S115="provisionally_independent","候选可用","需先完成家族复审"),"缺少实现"),IF(X115="拒绝","排除","未审批"))</x:f>
        <x:v>未审批</x:v>
      </x:c>
      <x:c r="Z115" s="73"/>
      <x:c r="AA115" s="73"/>
      <x:c r="AB115" s="73"/>
      <x:c r="AC115" s="73" t="n">
        <x:v>115</x:v>
      </x:c>
      <x:c r="AD115" s="73" t="str">
        <x:v>公开基础数据+项目数据字典</x:v>
      </x:c>
      <x:c r="AE115" s="73" t="str">
        <x:v>解析解/手算样例/边界值单元测试</x:v>
      </x:c>
      <x:c r="AF115" s="73" t="str">
        <x:v>仅存在于规划清单；不得计入当前可调用工具数。</x:v>
      </x:c>
    </x:row>
    <x:row r="116">
      <x:c r="A116" s="73" t="str">
        <x:v>G010</x:v>
      </x:c>
      <x:c r="B116" s="73" t="str">
        <x:v>仿真/优化/智能体支撑</x:v>
      </x:c>
      <x:c r="C116" s="73" t="str">
        <x:v>Monte Carlo不确定度分析</x:v>
      </x:c>
      <x:c r="D116" s="73" t="str">
        <x:v>不确定度分析</x:v>
      </x:c>
      <x:c r="E116" s="73" t="str">
        <x:v>run_monte_carlo_uncertainty</x:v>
      </x:c>
      <x:c r="F116" s="73"/>
      <x:c r="G116" s="73"/>
      <x:c r="H116" s="73" t="str">
        <x:v>not_implemented</x:v>
      </x:c>
      <x:c r="I116" s="73" t="str">
        <x:v>P2</x:v>
      </x:c>
      <x:c r="J116" s="73" t="str">
        <x:v>否</x:v>
      </x:c>
      <x:c r="K116" s="73" t="str">
        <x:v>输入分布采样+模型批量执行</x:v>
      </x:c>
      <x:c r="L116" s="73" t="str">
        <x:v>模型、输入分布、相关性、样本数</x:v>
      </x:c>
      <x:c r="M116" s="73" t="str">
        <x:v>输出分布、区间、失效概率</x:v>
      </x:c>
      <x:c r="N116" s="73" t="str">
        <x:v>所有仿真与优化工具必须返回收敛状态、约束违反、软件版本、运行日志和可复现实验清单</x:v>
      </x:c>
      <x:c r="O116" s="73" t="str">
        <x:v>planned_unimplemented</x:v>
      </x:c>
      <x:c r="P116" s="73"/>
      <x:c r="Q116" s="73"/>
      <x:c r="R116" s="73"/>
      <x:c r="S116" s="73" t="str">
        <x:v>provisionally_independent</x:v>
      </x:c>
      <x:c r="T116" s="73"/>
      <x:c r="U116" s="73" t="str"/>
      <x:c r="V116" s="73" t="str">
        <x:v>not_used_for_tool_acceptance</x:v>
      </x:c>
      <x:c r="W116" s="73" t="str">
        <x:v>unreviewed</x:v>
      </x:c>
      <x:c r="X116" s="73"/>
      <x:c r="Y116" s="73" t="str">
        <x:f>IF(X116="接受",IF(O116="implemented_tested_unreviewed",IF(S116="provisionally_independent","候选可用","需先完成家族复审"),"缺少实现"),IF(X116="拒绝","排除","未审批"))</x:f>
        <x:v>未审批</x:v>
      </x:c>
      <x:c r="Z116" s="73"/>
      <x:c r="AA116" s="73"/>
      <x:c r="AB116" s="73"/>
      <x:c r="AC116" s="73" t="n">
        <x:v>116</x:v>
      </x:c>
      <x:c r="AD116" s="73" t="str">
        <x:v>公开基础数据+项目数据字典</x:v>
      </x:c>
      <x:c r="AE116" s="73" t="str">
        <x:v>解析解/手算样例/边界值单元测试</x:v>
      </x:c>
      <x:c r="AF116" s="73" t="str">
        <x:v>仅存在于规划清单；不得计入当前可调用工具数。</x:v>
      </x:c>
    </x:row>
    <x:row r="117">
      <x:c r="A117" s="73" t="str">
        <x:v>G011</x:v>
      </x:c>
      <x:c r="B117" s="73" t="str">
        <x:v>仿真/优化/智能体支撑</x:v>
      </x:c>
      <x:c r="C117" s="73" t="str">
        <x:v>贝叶斯优化</x:v>
      </x:c>
      <x:c r="D117" s="73" t="str">
        <x:v>序贯优化</x:v>
      </x:c>
      <x:c r="E117" s="73" t="str">
        <x:v>run_bayesian_optimization</x:v>
      </x:c>
      <x:c r="F117" s="73"/>
      <x:c r="G117" s="73"/>
      <x:c r="H117" s="73" t="str">
        <x:v>not_implemented</x:v>
      </x:c>
      <x:c r="I117" s="73" t="str">
        <x:v>P2</x:v>
      </x:c>
      <x:c r="J117" s="73" t="str">
        <x:v>在线</x:v>
      </x:c>
      <x:c r="K117" s="73" t="str">
        <x:v>高斯过程/TPE采集函数</x:v>
      </x:c>
      <x:c r="L117" s="73" t="str">
        <x:v>目标函数、约束、变量范围、预算</x:v>
      </x:c>
      <x:c r="M117" s="73" t="str">
        <x:v>推荐下一组参数、最优历史、置信度</x:v>
      </x:c>
      <x:c r="N117" s="73" t="str">
        <x:v>所有仿真与优化工具必须返回收敛状态、约束违反、软件版本、运行日志和可复现实验清单</x:v>
      </x:c>
      <x:c r="O117" s="73" t="str">
        <x:v>planned_unimplemented</x:v>
      </x:c>
      <x:c r="P117" s="73"/>
      <x:c r="Q117" s="73"/>
      <x:c r="R117" s="73"/>
      <x:c r="S117" s="73" t="str">
        <x:v>provisionally_independent</x:v>
      </x:c>
      <x:c r="T117" s="73"/>
      <x:c r="U117" s="73" t="str"/>
      <x:c r="V117" s="73" t="str">
        <x:v>not_used_for_tool_acceptance</x:v>
      </x:c>
      <x:c r="W117" s="73" t="str">
        <x:v>unreviewed</x:v>
      </x:c>
      <x:c r="X117" s="73"/>
      <x:c r="Y117" s="73" t="str">
        <x:f>IF(X117="接受",IF(O117="implemented_tested_unreviewed",IF(S117="provisionally_independent","候选可用","需先完成家族复审"),"缺少实现"),IF(X117="拒绝","排除","未审批"))</x:f>
        <x:v>未审批</x:v>
      </x:c>
      <x:c r="Z117" s="73"/>
      <x:c r="AA117" s="73"/>
      <x:c r="AB117" s="73"/>
      <x:c r="AC117" s="73" t="n">
        <x:v>117</x:v>
      </x:c>
      <x:c r="AD117" s="73" t="str">
        <x:v>公开基础数据+项目数据字典</x:v>
      </x:c>
      <x:c r="AE117" s="73" t="str">
        <x:v>解析解/手算样例/边界值单元测试</x:v>
      </x:c>
      <x:c r="AF117" s="73" t="str">
        <x:v>仅存在于规划清单；不得计入当前可调用工具数。</x:v>
      </x:c>
    </x:row>
    <x:row r="118">
      <x:c r="A118" s="73" t="str">
        <x:v>G012</x:v>
      </x:c>
      <x:c r="B118" s="73" t="str">
        <x:v>仿真/优化/智能体支撑</x:v>
      </x:c>
      <x:c r="C118" s="73" t="str">
        <x:v>多目标优化</x:v>
      </x:c>
      <x:c r="D118" s="73" t="str">
        <x:v>多目标优化</x:v>
      </x:c>
      <x:c r="E118" s="73" t="str">
        <x:v>run_multiobjective_optimization</x:v>
      </x:c>
      <x:c r="F118" s="73"/>
      <x:c r="G118" s="73"/>
      <x:c r="H118" s="73" t="str">
        <x:v>not_implemented</x:v>
      </x:c>
      <x:c r="I118" s="73" t="str">
        <x:v>P2</x:v>
      </x:c>
      <x:c r="J118" s="73" t="str">
        <x:v>否</x:v>
      </x:c>
      <x:c r="K118" s="73" t="str">
        <x:v>NSGA-II/ε约束/Pyomo</x:v>
      </x:c>
      <x:c r="L118" s="73" t="str">
        <x:v>目标、约束、变量、权重偏好</x:v>
      </x:c>
      <x:c r="M118" s="73" t="str">
        <x:v>Pareto解集、折中解、约束状态</x:v>
      </x:c>
      <x:c r="N118" s="73" t="str">
        <x:v>所有仿真与优化工具必须返回收敛状态、约束违反、软件版本、运行日志和可复现实验清单</x:v>
      </x:c>
      <x:c r="O118" s="73" t="str">
        <x:v>planned_unimplemented</x:v>
      </x:c>
      <x:c r="P118" s="73"/>
      <x:c r="Q118" s="73"/>
      <x:c r="R118" s="73"/>
      <x:c r="S118" s="73" t="str">
        <x:v>provisionally_independent</x:v>
      </x:c>
      <x:c r="T118" s="73"/>
      <x:c r="U118" s="73" t="str"/>
      <x:c r="V118" s="73" t="str">
        <x:v>not_used_for_tool_acceptance</x:v>
      </x:c>
      <x:c r="W118" s="73" t="str">
        <x:v>unreviewed</x:v>
      </x:c>
      <x:c r="X118" s="73"/>
      <x:c r="Y118" s="73" t="str">
        <x:f>IF(X118="接受",IF(O118="implemented_tested_unreviewed",IF(S118="provisionally_independent","候选可用","需先完成家族复审"),"缺少实现"),IF(X118="拒绝","排除","未审批"))</x:f>
        <x:v>未审批</x:v>
      </x:c>
      <x:c r="Z118" s="73"/>
      <x:c r="AA118" s="73"/>
      <x:c r="AB118" s="73"/>
      <x:c r="AC118" s="73" t="n">
        <x:v>118</x:v>
      </x:c>
      <x:c r="AD118" s="73" t="str">
        <x:v>公开基础数据+项目数据字典</x:v>
      </x:c>
      <x:c r="AE118" s="73" t="str">
        <x:v>解析解/手算样例/边界值单元测试</x:v>
      </x:c>
      <x:c r="AF118" s="73" t="str">
        <x:v>仅存在于规划清单；不得计入当前可调用工具数。</x:v>
      </x:c>
    </x:row>
    <x:row r="119">
      <x:c r="A119" s="73" t="str">
        <x:v>G013</x:v>
      </x:c>
      <x:c r="B119" s="73" t="str">
        <x:v>仿真/优化/智能体支撑</x:v>
      </x:c>
      <x:c r="C119" s="73" t="str">
        <x:v>约束规则校验器</x:v>
      </x:c>
      <x:c r="D119" s="73" t="str">
        <x:v>规则引擎</x:v>
      </x:c>
      <x:c r="E119" s="73" t="str">
        <x:v>validate_constraints</x:v>
      </x:c>
      <x:c r="F119" s="73"/>
      <x:c r="G119" s="73"/>
      <x:c r="H119" s="73" t="str">
        <x:v>not_implemented</x:v>
      </x:c>
      <x:c r="I119" s="73" t="str">
        <x:v>P2</x:v>
      </x:c>
      <x:c r="J119" s="73" t="str">
        <x:v>否</x:v>
      </x:c>
      <x:c r="K119" s="73" t="str">
        <x:v>JSON规则/表达式树/物料能量与工艺边界</x:v>
      </x:c>
      <x:c r="L119" s="73" t="str">
        <x:v>模型输入输出、上下文、规则版本</x:v>
      </x:c>
      <x:c r="M119" s="73" t="str">
        <x:v>通过/失败、违反规则、修复建议</x:v>
      </x:c>
      <x:c r="N119" s="73" t="str">
        <x:v>所有仿真与优化工具必须返回收敛状态、约束违反、软件版本、运行日志和可复现实验清单</x:v>
      </x:c>
      <x:c r="O119" s="73" t="str">
        <x:v>planned_unimplemented</x:v>
      </x:c>
      <x:c r="P119" s="73"/>
      <x:c r="Q119" s="73"/>
      <x:c r="R119" s="73"/>
      <x:c r="S119" s="73" t="str">
        <x:v>provisionally_independent</x:v>
      </x:c>
      <x:c r="T119" s="73"/>
      <x:c r="U119" s="73" t="str"/>
      <x:c r="V119" s="73" t="str">
        <x:v>not_used_for_tool_acceptance</x:v>
      </x:c>
      <x:c r="W119" s="73" t="str">
        <x:v>unreviewed</x:v>
      </x:c>
      <x:c r="X119" s="73"/>
      <x:c r="Y119" s="73" t="str">
        <x:f>IF(X119="接受",IF(O119="implemented_tested_unreviewed",IF(S119="provisionally_independent","候选可用","需先完成家族复审"),"缺少实现"),IF(X119="拒绝","排除","未审批"))</x:f>
        <x:v>未审批</x:v>
      </x:c>
      <x:c r="Z119" s="73"/>
      <x:c r="AA119" s="73"/>
      <x:c r="AB119" s="73"/>
      <x:c r="AC119" s="73" t="n">
        <x:v>119</x:v>
      </x:c>
      <x:c r="AD119" s="73" t="str">
        <x:v>公开基础数据+项目数据字典</x:v>
      </x:c>
      <x:c r="AE119" s="73" t="str">
        <x:v>专家规则测试集+错误注入+规则版本回归</x:v>
      </x:c>
      <x:c r="AF119" s="73" t="str">
        <x:v>仅存在于规划清单；不得计入当前可调用工具数。</x:v>
      </x:c>
    </x:row>
    <x:row r="120">
      <x:c r="A120" s="73" t="str">
        <x:v>G014</x:v>
      </x:c>
      <x:c r="B120" s="73" t="str">
        <x:v>仿真/优化/智能体支撑</x:v>
      </x:c>
      <x:c r="C120" s="73" t="str">
        <x:v>模型路由评分器</x:v>
      </x:c>
      <x:c r="D120" s="73" t="str">
        <x:v>智能体路由模型</x:v>
      </x:c>
      <x:c r="E120" s="73" t="str">
        <x:v>score_model_route</x:v>
      </x:c>
      <x:c r="F120" s="73"/>
      <x:c r="G120" s="73"/>
      <x:c r="H120" s="73" t="str">
        <x:v>not_implemented</x:v>
      </x:c>
      <x:c r="I120" s="73" t="str">
        <x:v>P2</x:v>
      </x:c>
      <x:c r="J120" s="73" t="str">
        <x:v>可选</x:v>
      </x:c>
      <x:c r="K120" s="73" t="str">
        <x:v>能力矩阵+输入完整度+风险+成本+历史成功率评分</x:v>
      </x:c>
      <x:c r="L120" s="73" t="str">
        <x:v>任务意图、参数、候选工具元数据</x:v>
      </x:c>
      <x:c r="M120" s="73" t="str">
        <x:v>工具排序、是否强制调用/人工确认、理由</x:v>
      </x:c>
      <x:c r="N120" s="73" t="str">
        <x:v>所有仿真与优化工具必须返回收敛状态、约束违反、软件版本、运行日志和可复现实验清单</x:v>
      </x:c>
      <x:c r="O120" s="73" t="str">
        <x:v>planned_unimplemented</x:v>
      </x:c>
      <x:c r="P120" s="73"/>
      <x:c r="Q120" s="73"/>
      <x:c r="R120" s="73"/>
      <x:c r="S120" s="73" t="str">
        <x:v>provisionally_independent</x:v>
      </x:c>
      <x:c r="T120" s="73"/>
      <x:c r="U120" s="73" t="str"/>
      <x:c r="V120" s="73" t="str">
        <x:v>not_used_for_tool_acceptance</x:v>
      </x:c>
      <x:c r="W120" s="73" t="str">
        <x:v>unreviewed</x:v>
      </x:c>
      <x:c r="X120" s="73"/>
      <x:c r="Y120" s="73" t="str">
        <x:f>IF(X120="接受",IF(O120="implemented_tested_unreviewed",IF(S120="provisionally_independent","候选可用","需先完成家族复审"),"缺少实现"),IF(X120="拒绝","排除","未审批"))</x:f>
        <x:v>未审批</x:v>
      </x:c>
      <x:c r="Z120" s="73"/>
      <x:c r="AA120" s="73"/>
      <x:c r="AB120" s="73"/>
      <x:c r="AC120" s="73" t="n">
        <x:v>120</x:v>
      </x:c>
      <x:c r="AD120" s="73" t="str">
        <x:v>公开基础数据+项目数据字典</x:v>
      </x:c>
      <x:c r="AE120" s="73" t="str">
        <x:v>路由标注集+离线Top-k命中率+高风险漏调用率</x:v>
      </x:c>
      <x:c r="AF120" s="73" t="str">
        <x:v>仅存在于规划清单；不得计入当前可调用工具数。</x:v>
      </x:c>
    </x:row>
    <x:row r="121">
      <x:c r="A121" s="73" t="str">
        <x:v>G015</x:v>
      </x:c>
      <x:c r="B121" s="73" t="str">
        <x:v>仿真/优化/智能体支撑</x:v>
      </x:c>
      <x:c r="C121" s="73" t="str">
        <x:v>分布外/OOD检测</x:v>
      </x:c>
      <x:c r="D121" s="73" t="str">
        <x:v>分布外检测</x:v>
      </x:c>
      <x:c r="E121" s="73" t="str">
        <x:v>detect_out_of_distribution</x:v>
      </x:c>
      <x:c r="F121" s="73"/>
      <x:c r="G121" s="73"/>
      <x:c r="H121" s="73" t="str">
        <x:v>not_implemented</x:v>
      </x:c>
      <x:c r="I121" s="73" t="str">
        <x:v>P2</x:v>
      </x:c>
      <x:c r="J121" s="73" t="str">
        <x:v>是</x:v>
      </x:c>
      <x:c r="K121" s="73" t="str">
        <x:v>特征距离、孤立森林、共形预测/不确定度阈值</x:v>
      </x:c>
      <x:c r="L121" s="73" t="str">
        <x:v>当前样本、训练分布摘要</x:v>
      </x:c>
      <x:c r="M121" s="73" t="str">
        <x:v>OOD分数、拒答/人工确认建议</x:v>
      </x:c>
      <x:c r="N121" s="73" t="str">
        <x:v>所有仿真与优化工具必须返回收敛状态、约束违反、软件版本、运行日志和可复现实验清单</x:v>
      </x:c>
      <x:c r="O121" s="73" t="str">
        <x:v>planned_unimplemented</x:v>
      </x:c>
      <x:c r="P121" s="73"/>
      <x:c r="Q121" s="73"/>
      <x:c r="R121" s="73"/>
      <x:c r="S121" s="73" t="str">
        <x:v>provisionally_independent</x:v>
      </x:c>
      <x:c r="T121" s="73"/>
      <x:c r="U121" s="73" t="str"/>
      <x:c r="V121" s="73" t="str">
        <x:v>not_used_for_tool_acceptance</x:v>
      </x:c>
      <x:c r="W121" s="73" t="str">
        <x:v>unreviewed</x:v>
      </x:c>
      <x:c r="X121" s="73"/>
      <x:c r="Y121" s="73" t="str">
        <x:f>IF(X121="接受",IF(O121="implemented_tested_unreviewed",IF(S121="provisionally_independent","候选可用","需先完成家族复审"),"缺少实现"),IF(X121="拒绝","排除","未审批"))</x:f>
        <x:v>未审批</x:v>
      </x:c>
      <x:c r="Z121" s="73"/>
      <x:c r="AA121" s="73"/>
      <x:c r="AB121" s="73"/>
      <x:c r="AC121" s="73" t="n">
        <x:v>121</x:v>
      </x:c>
      <x:c r="AD121" s="73" t="str">
        <x:v>公开基础数据+项目数据字典</x:v>
      </x:c>
      <x:c r="AE121" s="73" t="str">
        <x:v>按时间/钢种/设备留出构造OOD测试</x:v>
      </x:c>
      <x:c r="AF121" s="73" t="str">
        <x:v>仅存在于规划清单；不得计入当前可调用工具数。</x:v>
      </x:c>
    </x:row>
  </x:sheetData>
  <x:conditionalFormatting sqref="O2:O121">
    <x:cfRule type="containsText" dxfId="0" priority="1" operator="containsText" text="implemented_tested_unreviewed"/>
    <x:cfRule type="containsText" dxfId="1" priority="2" operator="containsText" text="planned_unimplemented"/>
  </x:conditionalFormatting>
  <x:conditionalFormatting sqref="S2:S121">
    <x:cfRule type="containsText" dxfId="2" priority="3" operator="containsText" text="needs_family_review"/>
  </x:conditionalFormatting>
  <x:conditionalFormatting sqref="H2:H121">
    <x:cfRule type="containsText" dxfId="3" priority="4" operator="containsText" text="mapping_required"/>
  </x:conditionalFormatting>
  <x:conditionalFormatting sqref="Y2:Y121">
    <x:cfRule type="containsText" dxfId="4" priority="5" operator="containsText" text="候选可用"/>
    <x:cfRule type="containsText" dxfId="5" priority="6" operator="containsText" text="未审批"/>
  </x:conditionalFormatting>
  <x:dataValidations count="1">
    <x:dataValidation type="list" sqref="X2:X121">
      <x:formula1>"接受,保留待审,合并候选,废弃,拒绝"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992618b400742b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8" hidden="0" customWidth="1"/>
    <x:col min="3" max="3" width="34" hidden="0" customWidth="1"/>
    <x:col min="4" max="4" width="36" hidden="0" customWidth="1"/>
    <x:col min="5" max="5" width="36" hidden="0" customWidth="1"/>
    <x:col min="6" max="6" width="27" hidden="0" customWidth="1"/>
    <x:col min="7" max="7" width="12" hidden="0" customWidth="1"/>
    <x:col min="8" max="8" width="35" hidden="0" customWidth="1"/>
    <x:col min="9" max="9" width="45" hidden="0" customWidth="1"/>
    <x:col min="10" max="10" width="17" hidden="0" customWidth="1"/>
    <x:col min="11" max="11" width="14" hidden="0" customWidth="1"/>
    <x:col min="12" max="12" width="18" hidden="0" customWidth="1"/>
    <x:col min="13" max="13" width="36" hidden="0" customWidth="1"/>
  </x:cols>
  <x:sheetData>
    <x:row r="1" ht="34" customHeight="1">
      <x:c r="A1" s="4" t="str">
        <x:v>家族复审队列</x:v>
      </x:c>
      <x:c r="B1" s="4" t="str">
        <x:v>家族复审队列</x:v>
      </x:c>
      <x:c r="C1" s="4" t="str">
        <x:v>家族复审队列</x:v>
      </x:c>
      <x:c r="D1" s="4" t="str">
        <x:v>家族复审队列</x:v>
      </x:c>
      <x:c r="E1" s="4" t="str">
        <x:v>家族复审队列</x:v>
      </x:c>
      <x:c r="F1" s="4" t="str">
        <x:v>家族复审队列</x:v>
      </x:c>
      <x:c r="G1" s="4" t="str">
        <x:v>家族复审队列</x:v>
      </x:c>
      <x:c r="H1" s="4" t="str">
        <x:v>家族复审队列</x:v>
      </x:c>
      <x:c r="I1" s="4" t="str">
        <x:v>家族复审队列</x:v>
      </x:c>
      <x:c r="J1" s="4" t="str">
        <x:v>家族复审队列</x:v>
      </x:c>
      <x:c r="K1" s="4" t="str">
        <x:v>家族复审队列</x:v>
      </x:c>
      <x:c r="L1" s="4" t="str">
        <x:v>家族复审队列</x:v>
      </x:c>
      <x:c r="M1" s="4" t="str">
        <x:v>家族复审队列</x:v>
      </x:c>
    </x:row>
    <x:row r="2" ht="28" customHeight="1">
      <x:c r="A2" s="7" t="str">
        <x:v>同签名不等于重复；此页只锁定需要逐项比较的9个工具家族。</x:v>
      </x:c>
      <x:c r="B2" s="7" t="str">
        <x:v>同签名不等于重复；此页只锁定需要逐项比较的9个工具家族。</x:v>
      </x:c>
      <x:c r="C2" s="7" t="str">
        <x:v>同签名不等于重复；此页只锁定需要逐项比较的9个工具家族。</x:v>
      </x:c>
      <x:c r="D2" s="7" t="str">
        <x:v>同签名不等于重复；此页只锁定需要逐项比较的9个工具家族。</x:v>
      </x:c>
      <x:c r="E2" s="7" t="str">
        <x:v>同签名不等于重复；此页只锁定需要逐项比较的9个工具家族。</x:v>
      </x:c>
      <x:c r="F2" s="7" t="str">
        <x:v>同签名不等于重复；此页只锁定需要逐项比较的9个工具家族。</x:v>
      </x:c>
      <x:c r="G2" s="7" t="str">
        <x:v>同签名不等于重复；此页只锁定需要逐项比较的9个工具家族。</x:v>
      </x:c>
      <x:c r="H2" s="7" t="str">
        <x:v>同签名不等于重复；此页只锁定需要逐项比较的9个工具家族。</x:v>
      </x:c>
      <x:c r="I2" s="7" t="str">
        <x:v>同签名不等于重复；此页只锁定需要逐项比较的9个工具家族。</x:v>
      </x:c>
      <x:c r="J2" s="7" t="str">
        <x:v>同签名不等于重复；此页只锁定需要逐项比较的9个工具家族。</x:v>
      </x:c>
      <x:c r="K2" s="7" t="str">
        <x:v>同签名不等于重复；此页只锁定需要逐项比较的9个工具家族。</x:v>
      </x:c>
      <x:c r="L2" s="7" t="str">
        <x:v>同签名不等于重复；此页只锁定需要逐项比较的9个工具家族。</x:v>
      </x:c>
      <x:c r="M2" s="7" t="str">
        <x:v>同签名不等于重复；此页只锁定需要逐项比较的9个工具家族。</x:v>
      </x:c>
    </x:row>
    <x:row r="4">
      <x:c r="A4" s="29" t="str">
        <x:v>family_group_id</x:v>
      </x:c>
      <x:c r="B4" s="29" t="str">
        <x:v>scenario</x:v>
      </x:c>
      <x:c r="C4" s="29" t="str">
        <x:v>core_method</x:v>
      </x:c>
      <x:c r="D4" s="29" t="str">
        <x:v>main_input</x:v>
      </x:c>
      <x:c r="E4" s="29" t="str">
        <x:v>main_output</x:v>
      </x:c>
      <x:c r="F4" s="29" t="str">
        <x:v>member_ids</x:v>
      </x:c>
      <x:c r="G4" s="29" t="str">
        <x:v>member_count</x:v>
      </x:c>
      <x:c r="H4" s="29" t="str">
        <x:v>precheck_finding</x:v>
      </x:c>
      <x:c r="I4" s="29" t="str">
        <x:v>required_review</x:v>
      </x:c>
      <x:c r="J4" s="29" t="str">
        <x:v>review_decision</x:v>
      </x:c>
      <x:c r="K4" s="29" t="str">
        <x:v>reviewer</x:v>
      </x:c>
      <x:c r="L4" s="29" t="str">
        <x:v>reviewed_at</x:v>
      </x:c>
      <x:c r="M4" s="29" t="str">
        <x:v>review_note</x:v>
      </x:c>
    </x:row>
    <x:row r="5">
      <x:c r="A5" s="73" t="str">
        <x:v>FG-01</x:v>
      </x:c>
      <x:c r="B5" s="73" t="str">
        <x:v>热力学与相平衡</x:v>
      </x:c>
      <x:c r="C5" s="73" t="str">
        <x:v>标准多项式热容/焓/熵表达式</x:v>
      </x:c>
      <x:c r="D5" s="73" t="str">
        <x:v>物种、相态、温度、参数集</x:v>
      </x:c>
      <x:c r="E5" s="73" t="str">
        <x:v>Cp、H、S及适用温区</x:v>
      </x:c>
      <x:c r="F5" s="73" t="str">
        <x:v>B001, B002</x:v>
      </x:c>
      <x:c r="G5" s="73" t="n">
        <x:v>2</x:v>
      </x:c>
      <x:c r="H5" s="73" t="str">
        <x:v>规划清单中的场景、类型、核心方法、主要输入、主要输出完全相同。</x:v>
      </x:c>
      <x:c r="I5" s="73" t="str">
        <x:v>逐项比较输出字段、适用域、实现依赖和失败模式，确认应保留为独立工具、合并为一个工具的不同operation，或拒绝其中部分条目。</x:v>
      </x:c>
      <x:c r="J5" s="73"/>
      <x:c r="K5" s="73"/>
      <x:c r="L5" s="73"/>
      <x:c r="M5" s="73"/>
    </x:row>
    <x:row r="6">
      <x:c r="A6" s="73" t="str">
        <x:v>FG-02</x:v>
      </x:c>
      <x:c r="B6" s="73" t="str">
        <x:v>热力学与相平衡</x:v>
      </x:c>
      <x:c r="C6" s="73" t="str">
        <x:v>热容积分与参考态转换</x:v>
      </x:c>
      <x:c r="D6" s="73" t="str">
        <x:v>物种、相态、温度区间、参考态</x:v>
      </x:c>
      <x:c r="E6" s="73" t="str">
        <x:v>H/S/G与分段积分记录</x:v>
      </x:c>
      <x:c r="F6" s="73" t="str">
        <x:v>B003, B004, B005</x:v>
      </x:c>
      <x:c r="G6" s="73" t="n">
        <x:v>3</x:v>
      </x:c>
      <x:c r="H6" s="73" t="str">
        <x:v>规划清单中的场景、类型、核心方法、主要输入、主要输出完全相同。</x:v>
      </x:c>
      <x:c r="I6" s="73" t="str">
        <x:v>逐项比较输出字段、适用域、实现依赖和失败模式，确认应保留为独立工具、合并为一个工具的不同operation，或拒绝其中部分条目。</x:v>
      </x:c>
      <x:c r="J6" s="73"/>
      <x:c r="K6" s="73"/>
      <x:c r="L6" s="73"/>
      <x:c r="M6" s="73"/>
    </x:row>
    <x:row r="7">
      <x:c r="A7" s="73" t="str">
        <x:v>FG-03</x:v>
      </x:c>
      <x:c r="B7" s="73" t="str">
        <x:v>热力学与相平衡</x:v>
      </x:c>
      <x:c r="C7" s="73" t="str">
        <x:v>反应计量加权与ΔG°=-RTlnK</x:v>
      </x:c>
      <x:c r="D7" s="73" t="str">
        <x:v>配平反应、温度、物种热力学数据</x:v>
      </x:c>
      <x:c r="E7" s="73" t="str">
        <x:v>ΔH/ΔS/ΔG/K、数据血缘</x:v>
      </x:c>
      <x:c r="F7" s="73" t="str">
        <x:v>B006, B007, B008, B009</x:v>
      </x:c>
      <x:c r="G7" s="73" t="n">
        <x:v>4</x:v>
      </x:c>
      <x:c r="H7" s="73" t="str">
        <x:v>规划清单中的场景、类型、核心方法、主要输入、主要输出完全相同。</x:v>
      </x:c>
      <x:c r="I7" s="73" t="str">
        <x:v>逐项比较输出字段、适用域、实现依赖和失败模式，确认应保留为独立工具、合并为一个工具的不同operation，或拒绝其中部分条目。</x:v>
      </x:c>
      <x:c r="J7" s="73"/>
      <x:c r="K7" s="73"/>
      <x:c r="L7" s="73"/>
      <x:c r="M7" s="73"/>
    </x:row>
    <x:row r="8">
      <x:c r="A8" s="73" t="str">
        <x:v>FG-04</x:v>
      </x:c>
      <x:c r="B8" s="73" t="str">
        <x:v>热力学与相平衡</x:v>
      </x:c>
      <x:c r="C8" s="73" t="str">
        <x:v>溶液热力学活度/超额Gibbs模型</x:v>
      </x:c>
      <x:c r="D8" s="73" t="str">
        <x:v>组元、组成、温度、交互参数/标准态</x:v>
      </x:c>
      <x:c r="E8" s="73" t="str">
        <x:v>活度、活度系数、化学势</x:v>
      </x:c>
      <x:c r="F8" s="73" t="str">
        <x:v>B014, B015, B016, B017</x:v>
      </x:c>
      <x:c r="G8" s="73" t="n">
        <x:v>4</x:v>
      </x:c>
      <x:c r="H8" s="73" t="str">
        <x:v>规划清单中的场景、类型、核心方法、主要输入、主要输出完全相同。</x:v>
      </x:c>
      <x:c r="I8" s="73" t="str">
        <x:v>逐项比较输出字段、适用域、实现依赖和失败模式，确认应保留为独立工具、合并为一个工具的不同operation，或拒绝其中部分条目。</x:v>
      </x:c>
      <x:c r="J8" s="73"/>
      <x:c r="K8" s="73"/>
      <x:c r="L8" s="73"/>
      <x:c r="M8" s="73"/>
    </x:row>
    <x:row r="9">
      <x:c r="A9" s="73" t="str">
        <x:v>FG-05</x:v>
      </x:c>
      <x:c r="B9" s="73" t="str">
        <x:v>转炉炼钢</x:v>
      </x:c>
      <x:c r="C9" s="73" t="str">
        <x:v>GBDT/随机森林/时序特征+守恒约束</x:v>
      </x:c>
      <x:c r="D9" s="73" t="str">
        <x:v>装料、过程供氧/加料、炉气、副枪、历史炉次</x:v>
      </x:c>
      <x:c r="E9" s="73" t="str">
        <x:v>终点预测值、置信区间、特征贡献、是否建议测量</x:v>
      </x:c>
      <x:c r="F9" s="73" t="str">
        <x:v>D008, D009</x:v>
      </x:c>
      <x:c r="G9" s="73" t="n">
        <x:v>2</x:v>
      </x:c>
      <x:c r="H9" s="73" t="str">
        <x:v>规划清单中的场景、类型、核心方法、主要输入、主要输出完全相同。</x:v>
      </x:c>
      <x:c r="I9" s="73" t="str">
        <x:v>逐项比较输出字段、适用域、实现依赖和失败模式，确认应保留为独立工具、合并为一个工具的不同operation，或拒绝其中部分条目。</x:v>
      </x:c>
      <x:c r="J9" s="73"/>
      <x:c r="K9" s="73"/>
      <x:c r="L9" s="73"/>
      <x:c r="M9" s="73"/>
    </x:row>
    <x:row r="10">
      <x:c r="A10" s="73" t="str">
        <x:v>FG-06</x:v>
      </x:c>
      <x:c r="B10" s="73" t="str">
        <x:v>转炉炼钢</x:v>
      </x:c>
      <x:c r="C10" s="73" t="str">
        <x:v>氧化平衡+活度修正</x:v>
      </x:c>
      <x:c r="D10" s="73" t="str">
        <x:v>温度、渣钢组成、氧势</x:v>
      </x:c>
      <x:c r="E10" s="73" t="str">
        <x:v>平衡残余量、氧化量</x:v>
      </x:c>
      <x:c r="F10" s="73" t="str">
        <x:v>D012, D013</x:v>
      </x:c>
      <x:c r="G10" s="73" t="n">
        <x:v>2</x:v>
      </x:c>
      <x:c r="H10" s="73" t="str">
        <x:v>规划清单中的场景、类型、核心方法、主要输入、主要输出完全相同。</x:v>
      </x:c>
      <x:c r="I10" s="73" t="str">
        <x:v>逐项比较输出字段、适用域、实现依赖和失败模式，确认应保留为独立工具、合并为一个工具的不同operation，或拒绝其中部分条目。</x:v>
      </x:c>
      <x:c r="J10" s="73"/>
      <x:c r="K10" s="73"/>
      <x:c r="L10" s="73"/>
      <x:c r="M10" s="73"/>
    </x:row>
    <x:row r="11">
      <x:c r="A11" s="73" t="str">
        <x:v>FG-07</x:v>
      </x:c>
      <x:c r="B11" s="73" t="str">
        <x:v>高炉低碳</x:v>
      </x:c>
      <x:c r="C11" s="73" t="str">
        <x:v>时滞特征+GBDT/时序模型+物料平衡约束</x:v>
      </x:c>
      <x:c r="D11" s="73" t="str">
        <x:v>近数小时工艺、炉料、风口、煤气、历史化验</x:v>
      </x:c>
      <x:c r="E11" s="73" t="str">
        <x:v>铁水Si/温度预测、区间、贡献</x:v>
      </x:c>
      <x:c r="F11" s="73" t="str">
        <x:v>E017, E018</x:v>
      </x:c>
      <x:c r="G11" s="73" t="n">
        <x:v>2</x:v>
      </x:c>
      <x:c r="H11" s="73" t="str">
        <x:v>规划清单中的场景、类型、核心方法、主要输入、主要输出完全相同。</x:v>
      </x:c>
      <x:c r="I11" s="73" t="str">
        <x:v>逐项比较输出字段、适用域、实现依赖和失败模式，确认应保留为独立工具、合并为一个工具的不同operation，或拒绝其中部分条目。</x:v>
      </x:c>
      <x:c r="J11" s="73"/>
      <x:c r="K11" s="73"/>
      <x:c r="L11" s="73"/>
      <x:c r="M11" s="73"/>
    </x:row>
    <x:row r="12">
      <x:c r="A12" s="73" t="str">
        <x:v>FG-08</x:v>
      </x:c>
      <x:c r="B12" s="73" t="str">
        <x:v>连铸质量与二冷</x:v>
      </x:c>
      <x:c r="C12" s="73" t="str">
        <x:v>成分经验式或CALPHAD</x:v>
      </x:c>
      <x:c r="D12" s="73" t="str">
        <x:v>钢种成分、数据库/公式版本</x:v>
      </x:c>
      <x:c r="E12" s="73" t="str">
        <x:v>液相线/固相线温度、置信区间</x:v>
      </x:c>
      <x:c r="F12" s="73" t="str">
        <x:v>F001, F002</x:v>
      </x:c>
      <x:c r="G12" s="73" t="n">
        <x:v>2</x:v>
      </x:c>
      <x:c r="H12" s="73" t="str">
        <x:v>规划清单中的场景、类型、核心方法、主要输入、主要输出完全相同。</x:v>
      </x:c>
      <x:c r="I12" s="73" t="str">
        <x:v>逐项比较输出字段、适用域、实现依赖和失败模式，确认应保留为独立工具、合并为一个工具的不同operation，或拒绝其中部分条目。</x:v>
      </x:c>
      <x:c r="J12" s="73"/>
      <x:c r="K12" s="73"/>
      <x:c r="L12" s="73"/>
      <x:c r="M12" s="73"/>
    </x:row>
    <x:row r="13">
      <x:c r="A13" s="73" t="str">
        <x:v>FG-09</x:v>
      </x:c>
      <x:c r="B13" s="73" t="str">
        <x:v>连铸质量与二冷</x:v>
      </x:c>
      <x:c r="C13" s="73" t="str">
        <x:v>工艺+成分+热状态特征的GBDT/分类回归</x:v>
      </x:c>
      <x:c r="D13" s="73" t="str">
        <x:v>钢种、浇铸参数、温度/水量/拉速、质量检测</x:v>
      </x:c>
      <x:c r="E13" s="73" t="str">
        <x:v>质量风险/等级、置信度、主要影响因素</x:v>
      </x:c>
      <x:c r="F13" s="73" t="str">
        <x:v>F015, F016, F017, F020</x:v>
      </x:c>
      <x:c r="G13" s="73" t="n">
        <x:v>4</x:v>
      </x:c>
      <x:c r="H13" s="73" t="str">
        <x:v>规划清单中的场景、类型、核心方法、主要输入、主要输出完全相同。</x:v>
      </x:c>
      <x:c r="I13" s="73" t="str">
        <x:v>逐项比较输出字段、适用域、实现依赖和失败模式，确认应保留为独立工具、合并为一个工具的不同operation，或拒绝其中部分条目。</x:v>
      </x:c>
      <x:c r="J13" s="73"/>
      <x:c r="K13" s="73"/>
      <x:c r="L13" s="73"/>
      <x:c r="M13" s="73"/>
    </x:row>
  </x:sheetData>
  <x:mergeCells>
    <x:mergeCell ref="A1:M1"/>
    <x:mergeCell ref="A2:M2"/>
  </x:mergeCells>
  <x:dataValidations count="1">
    <x:dataValidation type="list" sqref="J5:J13">
      <x:formula1>"保留独立,合并候选,部分拒绝,待专家判断"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93058bb5b554e2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8" hidden="0" customWidth="1"/>
    <x:col min="3" max="3" width="50" hidden="0" customWidth="1"/>
    <x:col min="4" max="4" width="40" hidden="0" customWidth="1"/>
    <x:col min="5" max="5" width="18" hidden="0" customWidth="1"/>
    <x:col min="6" max="6" width="30" hidden="0" customWidth="1"/>
    <x:col min="7" max="7" width="38" hidden="0" customWidth="1"/>
  </x:cols>
  <x:sheetData>
    <x:row r="1" ht="34" customHeight="1">
      <x:c r="A1" s="4" t="str">
        <x:v>工具规模差距与推进路线</x:v>
      </x:c>
      <x:c r="B1" s="4" t="str">
        <x:v>工具规模差距与推进路线</x:v>
      </x:c>
      <x:c r="C1" s="4" t="str">
        <x:v>工具规模差距与推进路线</x:v>
      </x:c>
      <x:c r="D1" s="4" t="str">
        <x:v>工具规模差距与推进路线</x:v>
      </x:c>
      <x:c r="E1" s="4" t="str">
        <x:v>工具规模差距与推进路线</x:v>
      </x:c>
      <x:c r="F1" s="4" t="str">
        <x:v>工具规模差距与推进路线</x:v>
      </x:c>
      <x:c r="G1" s="4" t="str">
        <x:v>工具规模差距与推进路线</x:v>
      </x:c>
    </x:row>
    <x:row r="2" ht="28" customHeight="1">
      <x:c r="A2" s="7" t="str">
        <x:v>“已实现”与“CF-05正式接受”分开计数；两者都不能由规划清单替代。</x:v>
      </x:c>
      <x:c r="B2" s="7" t="str">
        <x:v>“已实现”与“CF-05正式接受”分开计数；两者都不能由规划清单替代。</x:v>
      </x:c>
      <x:c r="C2" s="7" t="str">
        <x:v>“已实现”与“CF-05正式接受”分开计数；两者都不能由规划清单替代。</x:v>
      </x:c>
      <x:c r="D2" s="7" t="str">
        <x:v>“已实现”与“CF-05正式接受”分开计数；两者都不能由规划清单替代。</x:v>
      </x:c>
      <x:c r="E2" s="7" t="str">
        <x:v>“已实现”与“CF-05正式接受”分开计数；两者都不能由规划清单替代。</x:v>
      </x:c>
      <x:c r="F2" s="7" t="str">
        <x:v>“已实现”与“CF-05正式接受”分开计数；两者都不能由规划清单替代。</x:v>
      </x:c>
      <x:c r="G2" s="7" t="str">
        <x:v>“已实现”与“CF-05正式接受”分开计数；两者都不能由规划清单替代。</x:v>
      </x:c>
    </x:row>
    <x:row r="4">
      <x:c r="A4" s="29" t="str">
        <x:v>目标池规模</x:v>
      </x:c>
      <x:c r="B4" s="29" t="str">
        <x:v>当前代码实现</x:v>
      </x:c>
      <x:c r="C4" s="29" t="str">
        <x:v>CF-05正式接受</x:v>
      </x:c>
      <x:c r="D4" s="29" t="str">
        <x:v>实现缺口</x:v>
      </x:c>
      <x:c r="E4" s="29" t="str">
        <x:v>正式接受缺口</x:v>
      </x:c>
      <x:c r="F4" s="29" t="str">
        <x:v>当前可行性</x:v>
      </x:c>
      <x:c r="G4" s="29" t="str">
        <x:v>下一步</x:v>
      </x:c>
    </x:row>
    <x:row r="5">
      <x:c r="A5" s="76" t="n">
        <x:v>17</x:v>
      </x:c>
      <x:c r="B5" s="76" t="n">
        <x:f>COUNTIF('工具审计'!$O$2:$O$121,"implemented_tested_unreviewed")</x:f>
        <x:v>17</x:v>
      </x:c>
      <x:c r="C5" s="76" t="n">
        <x:f>COUNTIF('工具审计'!$X$2:$X$121,"接受")</x:f>
        <x:v>0</x:v>
      </x:c>
      <x:c r="D5" s="76" t="n">
        <x:f>MAX(0,A5-B5)</x:f>
        <x:v>0</x:v>
      </x:c>
      <x:c r="E5" s="76" t="n">
        <x:f>MAX(0,A5-C5)</x:f>
        <x:v>17</x:v>
      </x:c>
      <x:c r="F5" s="74" t="str">
        <x:f>IF(E5=0,"可进入工具池构造",IF(D5=0,"实现已足够，待审核","不可构造真实可调用池"))</x:f>
        <x:v>实现已足够，待审核</x:v>
      </x:c>
      <x:c r="G5" s="74" t="str">
        <x:f>IF(A5=17,"先完成17项专业适用域和命名映射审核","按优先级实现并审核新增工具")</x:f>
        <x:v>先完成17项专业适用域和命名映射审核</x:v>
      </x:c>
    </x:row>
    <x:row r="6">
      <x:c r="A6" s="77" t="n">
        <x:v>50</x:v>
      </x:c>
      <x:c r="B6" s="77" t="n">
        <x:f>COUNTIF('工具审计'!$O$2:$O$121,"implemented_tested_unreviewed")</x:f>
        <x:v>17</x:v>
      </x:c>
      <x:c r="C6" s="77" t="n">
        <x:f>COUNTIF('工具审计'!$X$2:$X$121,"接受")</x:f>
        <x:v>0</x:v>
      </x:c>
      <x:c r="D6" s="77" t="n">
        <x:f>MAX(0,A6-B6)</x:f>
        <x:v>33</x:v>
      </x:c>
      <x:c r="E6" s="77" t="n">
        <x:f>MAX(0,A6-C6)</x:f>
        <x:v>50</x:v>
      </x:c>
      <x:c r="F6" s="75" t="str">
        <x:f>IF(E6=0,"可进入工具池构造",IF(D6=0,"实现已足够，待审核","不可构造真实可调用池"))</x:f>
        <x:v>不可构造真实可调用池</x:v>
      </x:c>
      <x:c r="G6" s="75" t="str">
        <x:f>IF(A6=17,"先完成17项专业适用域和命名映射审核","按优先级实现并审核新增工具")</x:f>
        <x:v>按优先级实现并审核新增工具</x:v>
      </x:c>
    </x:row>
    <x:row r="7">
      <x:c r="A7" s="77" t="n">
        <x:v>100</x:v>
      </x:c>
      <x:c r="B7" s="77" t="n">
        <x:f>COUNTIF('工具审计'!$O$2:$O$121,"implemented_tested_unreviewed")</x:f>
        <x:v>17</x:v>
      </x:c>
      <x:c r="C7" s="77" t="n">
        <x:f>COUNTIF('工具审计'!$X$2:$X$121,"接受")</x:f>
        <x:v>0</x:v>
      </x:c>
      <x:c r="D7" s="77" t="n">
        <x:f>MAX(0,A7-B7)</x:f>
        <x:v>83</x:v>
      </x:c>
      <x:c r="E7" s="77" t="n">
        <x:f>MAX(0,A7-C7)</x:f>
        <x:v>100</x:v>
      </x:c>
      <x:c r="F7" s="75" t="str">
        <x:f>IF(E7=0,"可进入工具池构造",IF(D7=0,"实现已足够，待审核","不可构造真实可调用池"))</x:f>
        <x:v>不可构造真实可调用池</x:v>
      </x:c>
      <x:c r="G7" s="75" t="str">
        <x:f>IF(A7=17,"先完成17项专业适用域和命名映射审核","按优先级实现并审核新增工具")</x:f>
        <x:v>按优先级实现并审核新增工具</x:v>
      </x:c>
    </x:row>
    <x:row r="8">
      <x:c r="A8" s="77" t="n">
        <x:v>120</x:v>
      </x:c>
      <x:c r="B8" s="77" t="n">
        <x:f>COUNTIF('工具审计'!$O$2:$O$121,"implemented_tested_unreviewed")</x:f>
        <x:v>17</x:v>
      </x:c>
      <x:c r="C8" s="77" t="n">
        <x:f>COUNTIF('工具审计'!$X$2:$X$121,"接受")</x:f>
        <x:v>0</x:v>
      </x:c>
      <x:c r="D8" s="77" t="n">
        <x:f>MAX(0,A8-B8)</x:f>
        <x:v>103</x:v>
      </x:c>
      <x:c r="E8" s="77" t="n">
        <x:f>MAX(0,A8-C8)</x:f>
        <x:v>120</x:v>
      </x:c>
      <x:c r="F8" s="75" t="str">
        <x:f>IF(E8=0,"可进入工具池构造",IF(D8=0,"实现已足够，待审核","不可构造真实可调用池"))</x:f>
        <x:v>不可构造真实可调用池</x:v>
      </x:c>
      <x:c r="G8" s="75" t="str">
        <x:f>IF(A8=17,"先完成17项专业适用域和命名映射审核","按优先级实现并审核新增工具")</x:f>
        <x:v>按优先级实现并审核新增工具</x:v>
      </x:c>
    </x:row>
    <x:row r="11">
      <x:c r="A11" s="13" t="str">
        <x:v>优先序</x:v>
      </x:c>
      <x:c r="B11" s="13" t="str">
        <x:v>工作包</x:v>
      </x:c>
      <x:c r="C11" s="13" t="str">
        <x:v>完成标准</x:v>
      </x:c>
      <x:c r="D11" s="13" t="str">
        <x:v>对后续工作的解锁</x:v>
      </x:c>
    </x:row>
    <x:row r="12">
      <x:c r="A12" s="38" t="n">
        <x:v>1</x:v>
      </x:c>
      <x:c r="B12" s="38" t="str">
        <x:v>17项专业适用域审核</x:v>
      </x:c>
      <x:c r="C12" s="38" t="str">
        <x:v>每项明确输入输出、边界、正常/边界证据和接受结论</x:v>
      </x:c>
      <x:c r="D12" s="38" t="str">
        <x:v>CF-02的17工具试构造</x:v>
      </x:c>
    </x:row>
    <x:row r="13">
      <x:c r="A13" s="39" t="n">
        <x:v>2</x:v>
      </x:c>
      <x:c r="B13" s="39" t="str">
        <x:v>9个家族复审</x:v>
      </x:c>
      <x:c r="C13" s="39" t="str">
        <x:v>确认25项是独立工具、operation拆分还是合并/拒绝</x:v>
      </x:c>
      <x:c r="D13" s="39" t="str">
        <x:v>可靠的近邻与独立计数</x:v>
      </x:c>
    </x:row>
    <x:row r="14">
      <x:c r="A14" s="39" t="n">
        <x:v>3</x:v>
      </x:c>
      <x:c r="B14" s="39" t="str">
        <x:v>API命名映射冻结</x:v>
      </x:c>
      <x:c r="C14" s="39" t="str">
        <x:v>规划API名、内部api_name、LLM函数名形成唯一映射表</x:v>
      </x:c>
      <x:c r="D14" s="39" t="str">
        <x:v>Full Schema和路由日志一致性</x:v>
      </x:c>
    </x:row>
    <x:row r="15">
      <x:c r="A15" s="39" t="n">
        <x:v>4</x:v>
      </x:c>
      <x:c r="B15" s="39" t="str">
        <x:v>按场景补齐33项</x:v>
      </x:c>
      <x:c r="C15" s="39" t="str">
        <x:v>达到50个已实现并审核工具</x:v>
      </x:c>
      <x:c r="D15" s="39" t="str">
        <x:v>50工具池与CF-06 50 Schema检查</x:v>
      </x:c>
    </x:row>
    <x:row r="16">
      <x:c r="A16" s="39" t="n">
        <x:v>5</x:v>
      </x:c>
      <x:c r="B16" s="39" t="str">
        <x:v>继续补齐至100/120</x:v>
      </x:c>
      <x:c r="C16" s="39" t="str">
        <x:v>逐项实现、测试、审核，不以页面或清单代替</x:v>
      </x:c>
      <x:c r="D16" s="39" t="str">
        <x:v>正式规模效应实验</x:v>
      </x:c>
    </x:row>
  </x:sheetData>
  <x:mergeCells>
    <x:mergeCell ref="A1:G1"/>
    <x:mergeCell ref="A2:G2"/>
  </x:mergeCells>
  <x:conditionalFormatting sqref="F5:F8">
    <x:cfRule type="containsText" dxfId="6" priority="1" operator="containsText" text="不可构造"/>
    <x:cfRule type="containsText" dxfId="7" priority="2" operator="containsText" text="待审核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38" hidden="0" customWidth="1"/>
    <x:col min="3" max="3" width="42" hidden="0" customWidth="1"/>
    <x:col min="4" max="4" width="38" hidden="0" customWidth="1"/>
    <x:col min="6" max="6" width="24" hidden="0" customWidth="1"/>
    <x:col min="7" max="7" width="50" hidden="0" customWidth="1"/>
    <x:col min="8" max="8" width="55" hidden="0" customWidth="1"/>
  </x:cols>
  <x:sheetData>
    <x:row r="1" ht="34" customHeight="1">
      <x:c r="A1" s="4" t="str">
        <x:v>CF-05A预审规则与证据层级</x:v>
      </x:c>
      <x:c r="B1" s="4" t="str">
        <x:v>CF-05A预审规则与证据层级</x:v>
      </x:c>
      <x:c r="C1" s="4" t="str">
        <x:v>CF-05A预审规则与证据层级</x:v>
      </x:c>
      <x:c r="D1" s="4" t="str">
        <x:v>CF-05A预审规则与证据层级</x:v>
      </x:c>
      <x:c r="E1" s="4" t="str">
        <x:v>CF-05A预审规则与证据层级</x:v>
      </x:c>
      <x:c r="F1" s="4" t="str">
        <x:v>CF-05A预审规则与证据层级</x:v>
      </x:c>
      <x:c r="G1" s="4" t="str">
        <x:v>CF-05A预审规则与证据层级</x:v>
      </x:c>
      <x:c r="H1" s="4" t="str">
        <x:v>CF-05A预审规则与证据层级</x:v>
      </x:c>
    </x:row>
    <x:row r="2" ht="28" customHeight="1">
      <x:c r="A2" s="7" t="str">
        <x:v>此规则用于工程预审和准备人工复审，不替代协议要求的正式联合审核。</x:v>
      </x:c>
      <x:c r="B2" s="7" t="str">
        <x:v>此规则用于工程预审和准备人工复审，不替代协议要求的正式联合审核。</x:v>
      </x:c>
      <x:c r="C2" s="7" t="str">
        <x:v>此规则用于工程预审和准备人工复审，不替代协议要求的正式联合审核。</x:v>
      </x:c>
      <x:c r="D2" s="7" t="str">
        <x:v>此规则用于工程预审和准备人工复审，不替代协议要求的正式联合审核。</x:v>
      </x:c>
      <x:c r="E2" s="7" t="str">
        <x:v>此规则用于工程预审和准备人工复审，不替代协议要求的正式联合审核。</x:v>
      </x:c>
      <x:c r="F2" s="7" t="str">
        <x:v>此规则用于工程预审和准备人工复审，不替代协议要求的正式联合审核。</x:v>
      </x:c>
      <x:c r="G2" s="7" t="str">
        <x:v>此规则用于工程预审和准备人工复审，不替代协议要求的正式联合审核。</x:v>
      </x:c>
      <x:c r="H2" s="7" t="str">
        <x:v>此规则用于工程预审和准备人工复审，不替代协议要求的正式联合审核。</x:v>
      </x:c>
    </x:row>
    <x:row r="4">
      <x:c r="A4" s="29" t="str">
        <x:v>层级</x:v>
      </x:c>
      <x:c r="B4" s="29" t="str">
        <x:v>证据</x:v>
      </x:c>
      <x:c r="C4" s="29" t="str">
        <x:v>可证明什么</x:v>
      </x:c>
      <x:c r="D4" s="29" t="str">
        <x:v>不能证明什么</x:v>
      </x:c>
      <x:c r="F4" s="29" t="str">
        <x:v>来源</x:v>
      </x:c>
      <x:c r="G4" s="29" t="str">
        <x:v>定位</x:v>
      </x:c>
      <x:c r="H4" s="29" t="str">
        <x:v>SHA-256/说明</x:v>
      </x:c>
    </x:row>
    <x:row r="5">
      <x:c r="A5" s="38" t="n">
        <x:v>1</x:v>
      </x:c>
      <x:c r="B5" s="38" t="str">
        <x:v>代码注册项 + 可调用入口</x:v>
      </x:c>
      <x:c r="C5" s="38" t="str">
        <x:v>存在实际实现</x:v>
      </x:c>
      <x:c r="D5" s="38" t="str">
        <x:v>科学正确或适用域充分</x:v>
      </x:c>
      <x:c r="F5" s="38" t="str">
        <x:v>规划清单</x:v>
      </x:c>
      <x:c r="G5" s="38" t="str">
        <x:v>绿色低碳冶金_数据库资料源与120小模型清单.xlsx / 02_小模型清单120</x:v>
      </x:c>
      <x:c r="H5" s="38" t="str">
        <x:v>7cc30fce08dc93125f265cf22d15da3f99200d9128198d1fb68e0f489cc207ab</x:v>
      </x:c>
    </x:row>
    <x:row r="6">
      <x:c r="A6" s="39" t="n">
        <x:v>2</x:v>
      </x:c>
      <x:c r="B6" s="39" t="str">
        <x:v>正常回归用例</x:v>
      </x:c>
      <x:c r="C6" s="39" t="str">
        <x:v>典型输入能产生可重复结果</x:v>
      </x:c>
      <x:c r="D6" s="39" t="str">
        <x:v>边界条件完整</x:v>
      </x:c>
      <x:c r="F6" s="39" t="str">
        <x:v>代码注册</x:v>
      </x:c>
      <x:c r="G6" s="39" t="str">
        <x:v>Tools/models_core/models_a.py</x:v>
      </x:c>
      <x:c r="H6" s="39" t="str">
        <x:v>A001–A005</x:v>
      </x:c>
    </x:row>
    <x:row r="7">
      <x:c r="A7" s="39" t="n">
        <x:v>3</x:v>
      </x:c>
      <x:c r="B7" s="39" t="str">
        <x:v>输入鲁棒性/边界用例</x:v>
      </x:c>
      <x:c r="C7" s="39" t="str">
        <x:v>部分错误输入会被拒绝</x:v>
      </x:c>
      <x:c r="D7" s="39" t="str">
        <x:v>专业边界覆盖完整</x:v>
      </x:c>
      <x:c r="F7" s="39" t="str">
        <x:v>代码注册</x:v>
      </x:c>
      <x:c r="G7" s="39" t="str">
        <x:v>Tools/models_core/models_b.py</x:v>
      </x:c>
      <x:c r="H7" s="39" t="str">
        <x:v>B001–B009、B019</x:v>
      </x:c>
    </x:row>
    <x:row r="8">
      <x:c r="A8" s="39" t="n">
        <x:v>4</x:v>
      </x:c>
      <x:c r="B8" s="39" t="str">
        <x:v>专业适用域审核</x:v>
      </x:c>
      <x:c r="C8" s="39" t="str">
        <x:v>工具边界、物理意义和独立性合理</x:v>
      </x:c>
      <x:c r="D8" s="39" t="str">
        <x:v>运行环境和Schema可行性</x:v>
      </x:c>
      <x:c r="F8" s="39" t="str">
        <x:v>代码注册</x:v>
      </x:c>
      <x:c r="G8" s="39" t="str">
        <x:v>Tools/models_core/models_c.py</x:v>
      </x:c>
      <x:c r="H8" s="39" t="str">
        <x:v>C001–C002</x:v>
      </x:c>
    </x:row>
    <x:row r="9">
      <x:c r="A9" s="39" t="n">
        <x:v>5</x:v>
      </x:c>
      <x:c r="B9" s="39" t="str">
        <x:v>CF-05正式审批记录</x:v>
      </x:c>
      <x:c r="C9" s="39" t="str">
        <x:v>可计入CF-02/CF-06的正式工具数</x:v>
      </x:c>
      <x:c r="D9" s="39" t="str">
        <x:v>Core Frozen自动成立</x:v>
      </x:c>
      <x:c r="F9" s="39" t="str">
        <x:v>正常回归</x:v>
      </x:c>
      <x:c r="G9" s="39" t="str">
        <x:v>Tools/tests/test_model_baseline.py</x:v>
      </x:c>
      <x:c r="H9" s="39" t="str">
        <x:v>golden_cases覆盖全部17项</x:v>
      </x:c>
    </x:row>
    <x:row r="10">
      <x:c r="F10" s="39" t="str">
        <x:v>边界前置证据</x:v>
      </x:c>
      <x:c r="G10" s="39" t="str">
        <x:v>Tools/tests/test_model_baseline.py</x:v>
      </x:c>
      <x:c r="H10" s="39" t="str">
        <x:v>必填字段输入鲁棒性矩阵；不等同于完整专业边界审查</x:v>
      </x:c>
    </x:row>
    <x:row r="12">
      <x:c r="A12" s="13" t="str">
        <x:v>状态值</x:v>
      </x:c>
      <x:c r="B12" s="13" t="str">
        <x:v>定义</x:v>
      </x:c>
      <x:c r="C12" s="13" t="str">
        <x:v>处理</x:v>
      </x:c>
    </x:row>
    <x:row r="13">
      <x:c r="A13" s="38" t="str">
        <x:v>implemented_tested_unreviewed</x:v>
      </x:c>
      <x:c r="B13" s="38" t="str">
        <x:v>代码中存在，且基线回归与输入鲁棒性测试覆盖</x:v>
      </x:c>
      <x:c r="C13" s="38" t="str">
        <x:v>进入17项专业复审</x:v>
      </x:c>
      <x:c r="F13" s="13" t="str">
        <x:v>命名表面</x:v>
      </x:c>
      <x:c r="G13" s="13" t="str">
        <x:v>当前形式</x:v>
      </x:c>
      <x:c r="H13" s="13" t="str">
        <x:v>说明</x:v>
      </x:c>
    </x:row>
    <x:row r="14">
      <x:c r="A14" s="39" t="str">
        <x:v>planned_unimplemented</x:v>
      </x:c>
      <x:c r="B14" s="39" t="str">
        <x:v>仅存在于120项规划清单</x:v>
      </x:c>
      <x:c r="C14" s="39" t="str">
        <x:v>不得计入可调用工具数</x:v>
      </x:c>
      <x:c r="F14" s="36" t="str">
        <x:v>规划清单API函数名</x:v>
      </x:c>
      <x:c r="G14" s="36" t="str">
        <x:v>convert_units等</x:v>
      </x:c>
      <x:c r="H14" s="36" t="str">
        <x:v>120项各自唯一</x:v>
      </x:c>
    </x:row>
    <x:row r="15">
      <x:c r="A15" s="39" t="str">
        <x:v>provisionally_independent</x:v>
      </x:c>
      <x:c r="B15" s="39" t="str">
        <x:v>未发现名称/API/五字段签名重复</x:v>
      </x:c>
      <x:c r="C15" s="39" t="str">
        <x:v>仍需正式审核</x:v>
      </x:c>
      <x:c r="F15" s="37" t="str">
        <x:v>内部registry api_name</x:v>
      </x:c>
      <x:c r="G15" s="37" t="str">
        <x:v>model_a001等</x:v>
      </x:c>
      <x:c r="H15" s="37" t="str">
        <x:v>BaseModelTool自动生成</x:v>
      </x:c>
    </x:row>
    <x:row r="16">
      <x:c r="A16" s="39" t="str">
        <x:v>needs_family_review</x:v>
      </x:c>
      <x:c r="B16" s="39" t="str">
        <x:v>与同场景条目共享类型、方法、输入和输出签名</x:v>
      </x:c>
      <x:c r="C16" s="39" t="str">
        <x:v>逐项判断拆分或合并</x:v>
      </x:c>
      <x:c r="F16" s="37" t="str">
        <x:v>LLM函数调用名</x:v>
      </x:c>
      <x:c r="G16" s="37" t="str">
        <x:v>A001等</x:v>
      </x:c>
      <x:c r="H16" s="37" t="str">
        <x:v>llm_adapters.model_tools实际暴露</x:v>
      </x:c>
    </x:row>
    <x:row r="17">
      <x:c r="A17" s="39" t="str">
        <x:v>mapping_required_source_vs_runtime</x:v>
      </x:c>
      <x:c r="B17" s="39" t="str">
        <x:v>规划API名与当前运行时LLM函数名不同</x:v>
      </x:c>
      <x:c r="C17" s="39" t="str">
        <x:v>建立冻结映射</x:v>
      </x:c>
    </x:row>
    <x:row r="18">
      <x:c r="A18" s="39" t="str">
        <x:v>unreviewed</x:v>
      </x:c>
      <x:c r="B18" s="39" t="str">
        <x:v>CF-05尚未给出正式结论</x:v>
      </x:c>
      <x:c r="C18" s="39" t="str">
        <x:v>不得写入accepted计数</x:v>
      </x:c>
    </x:row>
  </x:sheetData>
  <x:mergeCells>
    <x:mergeCell ref="A1:H1"/>
    <x:mergeCell ref="A2:H2"/>
  </x:mergeCells>
  <x:pageMargins left="0.7" right="0.7" top="0.75" bottom="0.75" header="0.3" footer="0.3"/>
</x:worksheet>
</file>