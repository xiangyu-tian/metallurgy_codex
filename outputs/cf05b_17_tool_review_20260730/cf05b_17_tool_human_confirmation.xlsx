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d02923ef848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5ba7c75ccf074bf7"/>
    <x:sheet xmlns:r="http://schemas.openxmlformats.org/officeDocument/2006/relationships" name="17工具复审" sheetId="2" r:id="R10147d9a5aef40ee"/>
    <x:sheet xmlns:r="http://schemas.openxmlformats.org/officeDocument/2006/relationships" name="命名映射" sheetId="3" r:id="Re2e71dc7ed4c4f2e"/>
    <x:sheet xmlns:r="http://schemas.openxmlformats.org/officeDocument/2006/relationships" name="诊断证据" sheetId="4" r:id="Rb186f85f59224bf1"/>
    <x:sheet xmlns:r="http://schemas.openxmlformats.org/officeDocument/2006/relationships" name="参考与规则" sheetId="5" r:id="Rd918e2d0b338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5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5">
    <x:border/>
    <x:border>
      <x:bottom style="medium">
        <x:color rgb="FF0F766E"/>
      </x:bottom>
    </x:border>
    <x:border>
      <x:bottom style="medium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9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e37e894014013" /><Relationship Type="http://schemas.openxmlformats.org/officeDocument/2006/relationships/theme" Target="/xl/theme/theme1.xml" Id="Ref181feebcc04184" /><Relationship Type="http://schemas.openxmlformats.org/officeDocument/2006/relationships/sharedStrings" Target="/xl/sharedStrings.xml" Id="R4cd96bf926ab4b3a" /><Relationship Type="http://schemas.openxmlformats.org/officeDocument/2006/relationships/worksheet" Target="/xl/worksheets/sheet1.xml" Id="R5ba7c75ccf074bf7" /><Relationship Type="http://schemas.openxmlformats.org/officeDocument/2006/relationships/worksheet" Target="/xl/worksheets/sheet2.xml" Id="R10147d9a5aef40ee" /><Relationship Type="http://schemas.openxmlformats.org/officeDocument/2006/relationships/worksheet" Target="/xl/worksheets/sheet3.xml" Id="Re2e71dc7ed4c4f2e" /><Relationship Type="http://schemas.openxmlformats.org/officeDocument/2006/relationships/worksheet" Target="/xl/worksheets/sheet4.xml" Id="Rb186f85f59224bf1" /><Relationship Type="http://schemas.openxmlformats.org/officeDocument/2006/relationships/worksheet" Target="/xl/worksheets/sheet5.xml" Id="Rd918e2d0b3384700" /></Relationships>
</file>

<file path=xl/tables/table1.xml><?xml version="1.0" encoding="utf-8"?>
<x:table xmlns:x="http://schemas.openxmlformats.org/spreadsheetml/2006/main" id="1" name="CF05BReview" displayName="CF05BReview" ref="A1:Q18" headerRowCount="1" totalsRowCount="0" totalsRowShown="0">
  <x:tableColumns count="17">
    <x:tableColumn id="1" name="model_id"/>
    <x:tableColumn id="2" name="model_name"/>
    <x:tableColumn id="3" name="category"/>
    <x:tableColumn id="4" name="ai_disposition"/>
    <x:tableColumn id="5" name="risk_level"/>
    <x:tableColumn id="6" name="scientific_scope"/>
    <x:tableColumn id="7" name="key_risk"/>
    <x:tableColumn id="8" name="required_action"/>
    <x:tableColumn id="9" name="diagnostic_summary"/>
    <x:tableColumn id="10" name="golden_case_count"/>
    <x:tableColumn id="11" name="generated_invalid_input_case_count"/>
    <x:tableColumn id="12" name="source_file"/>
    <x:tableColumn id="13" name="human_decision"/>
    <x:tableColumn id="14" name="human_reviewer"/>
    <x:tableColumn id="15" name="reviewed_at"/>
    <x:tableColumn id="16" name="human_note"/>
    <x:tableColumn id="17" name="review_g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F05BNamingMap" displayName="CF05BNamingMap" ref="A4:J21" headerRowCount="1" totalsRowCount="0" totalsRowShown="0">
  <x:tableColumns count="10">
    <x:tableColumn id="1" name="model_id"/>
    <x:tableColumn id="2" name="canonical_tool_id"/>
    <x:tableColumn id="3" name="planned_semantic_alias"/>
    <x:tableColumn id="4" name="registry_api_name"/>
    <x:tableColumn id="5" name="runtime_openai_tool_name"/>
    <x:tableColumn id="6" name="recommended_policy"/>
    <x:tableColumn id="7" name="mapping_status"/>
    <x:tableColumn id="8" name="human_decision"/>
    <x:tableColumn id="9" name="human_reviewer"/>
    <x:tableColumn id="10" name="human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F05BDiagnostics" displayName="CF05BDiagnostics" ref="A1:G18" headerRowCount="1" totalsRowCount="0" totalsRowShown="0">
  <x:tableColumns count="7">
    <x:tableColumn id="1" name="model_id"/>
    <x:tableColumn id="2" name="diagnostic"/>
    <x:tableColumn id="3" name="observed_summary"/>
    <x:tableColumn id="4" name="finding_code"/>
    <x:tableColumn id="5" name="reference_urls"/>
    <x:tableColumn id="6" name="golden_case_count"/>
    <x:tableColumn id="7" name="invalid_input_case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9a028f58654d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74151c087540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a313cf5e454f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50" hidden="0" customWidth="1"/>
    <x:col min="4" max="4" width="50" hidden="0" customWidth="1"/>
    <x:col min="5" max="5" width="17" hidden="0" customWidth="1"/>
    <x:col min="6" max="6" width="38" hidden="0" customWidth="1"/>
    <x:col min="7" max="7" width="12" hidden="0" customWidth="1"/>
    <x:col min="8" max="8" width="44" hidden="0" customWidth="1"/>
  </x:cols>
  <x:sheetData>
    <x:row r="1" ht="34" customHeight="1">
      <x:c r="A1" s="3" t="str">
        <x:v>CF-05B｜17个已实现工具科学适用域AI预审</x:v>
      </x:c>
      <x:c r="B1" s="3" t="str">
        <x:v>CF-05B｜17个已实现工具科学适用域AI预审</x:v>
      </x:c>
      <x:c r="C1" s="3" t="str">
        <x:v>CF-05B｜17个已实现工具科学适用域AI预审</x:v>
      </x:c>
      <x:c r="D1" s="3" t="str">
        <x:v>CF-05B｜17个已实现工具科学适用域AI预审</x:v>
      </x:c>
      <x:c r="E1" s="3" t="str">
        <x:v>CF-05B｜17个已实现工具科学适用域AI预审</x:v>
      </x:c>
      <x:c r="F1" s="3" t="str">
        <x:v>CF-05B｜17个已实现工具科学适用域AI预审</x:v>
      </x:c>
      <x:c r="G1" s="3" t="str">
        <x:v>CF-05B｜17个已实现工具科学适用域AI预审</x:v>
      </x:c>
      <x:c r="H1" s="3" t="str">
        <x:v>CF-05B｜17个已实现工具科学适用域AI预审</x:v>
      </x:c>
    </x:row>
    <x:row r="2" ht="28" customHeight="1">
      <x:c r="A2" s="6" t="str">
        <x:v>诊断只生成待人工确认的证据，不修改工具源码，也不产生CF-05正式accepted。</x:v>
      </x:c>
      <x:c r="B2" s="6" t="str">
        <x:v>诊断只生成待人工确认的证据，不修改工具源码，也不产生CF-05正式accepted。</x:v>
      </x:c>
      <x:c r="C2" s="6" t="str">
        <x:v>诊断只生成待人工确认的证据，不修改工具源码，也不产生CF-05正式accepted。</x:v>
      </x:c>
      <x:c r="D2" s="6" t="str">
        <x:v>诊断只生成待人工确认的证据，不修改工具源码，也不产生CF-05正式accepted。</x:v>
      </x:c>
      <x:c r="E2" s="6" t="str">
        <x:v>诊断只生成待人工确认的证据，不修改工具源码，也不产生CF-05正式accepted。</x:v>
      </x:c>
      <x:c r="F2" s="6" t="str">
        <x:v>诊断只生成待人工确认的证据，不修改工具源码，也不产生CF-05正式accepted。</x:v>
      </x:c>
      <x:c r="G2" s="6" t="str">
        <x:v>诊断只生成待人工确认的证据，不修改工具源码，也不产生CF-05正式accepted。</x:v>
      </x:c>
      <x:c r="H2" s="6" t="str">
        <x:v>诊断只生成待人工确认的证据，不修改工具源码，也不产生CF-05正式accepted。</x:v>
      </x:c>
    </x:row>
    <x:row r="4">
      <x:c r="A4" s="12" t="str">
        <x:v>已实现工具</x:v>
      </x:c>
      <x:c r="B4" s="12" t="str">
        <x:v>需修订后再接受</x:v>
      </x:c>
      <x:c r="C4" s="12" t="str">
        <x:v>可补充说明后候选</x:v>
      </x:c>
      <x:c r="D4" s="12" t="str">
        <x:v>严重风险</x:v>
      </x:c>
      <x:c r="E4" s="12" t="str">
        <x:v>人工已确认</x:v>
      </x:c>
      <x:c r="F4" s="12" t="str">
        <x:v>CF-05正式接受</x:v>
      </x:c>
    </x:row>
    <x:row r="5" ht="34" customHeight="1">
      <x:c r="A5" s="16" t="n">
        <x:f>COUNTA('17工具复审'!$A$2:$A$18)</x:f>
        <x:v>17</x:v>
      </x:c>
      <x:c r="B5" s="16" t="n">
        <x:f>COUNTIF('17工具复审'!$D$2:$D$18,"revision_required_before_acceptance")</x:f>
        <x:v>14</x:v>
      </x:c>
      <x:c r="C5" s="16" t="n">
        <x:f>COUNTIF('17工具复审'!$D$2:$D$18,"candidate_after_minor_clarification")</x:f>
        <x:v>3</x:v>
      </x:c>
      <x:c r="D5" s="16" t="n">
        <x:f>COUNTIF('17工具复审'!$E$2:$E$18,"critical")</x:f>
        <x:v>5</x:v>
      </x:c>
      <x:c r="E5" s="16" t="n">
        <x:f>COUNTIF('17工具复审'!$M$2:$M$18,"&lt;&gt;")</x:f>
        <x:v>0</x:v>
      </x:c>
      <x:c r="F5" s="16" t="n">
        <x:f>0</x:f>
        <x:v>0</x:v>
      </x:c>
    </x:row>
    <x:row r="8">
      <x:c r="A8" s="21" t="str">
        <x:v>优先级</x:v>
      </x:c>
      <x:c r="B8" s="21" t="str">
        <x:v>工具</x:v>
      </x:c>
      <x:c r="C8" s="21" t="str">
        <x:v>已复现问题</x:v>
      </x:c>
      <x:c r="D8" s="21" t="str">
        <x:v>进入候选前最低动作</x:v>
      </x:c>
      <x:c r="F8" s="21" t="str">
        <x:v>结论层级</x:v>
      </x:c>
      <x:c r="G8" s="21" t="str">
        <x:v>数量</x:v>
      </x:c>
      <x:c r="H8" s="21" t="str">
        <x:v>含义</x:v>
      </x:c>
    </x:row>
    <x:row r="9">
      <x:c r="A9" s="28" t="str">
        <x:v>P0</x:v>
      </x:c>
      <x:c r="B9" s="26" t="str">
        <x:v>B003 显热与焓积分</x:v>
      </x:c>
      <x:c r="C9" s="26" t="str">
        <x:v>摩尔焓差直接乘mass(g)，量纲错误</x:v>
      </x:c>
      <x:c r="D9" s="26" t="str">
        <x:v>改为mol输入或使用摩尔质量换算</x:v>
      </x:c>
      <x:c r="F9" s="31" t="str">
        <x:v>revision_required_before_acceptance</x:v>
      </x:c>
      <x:c r="G9" s="31" t="n">
        <x:v>14</x:v>
      </x:c>
      <x:c r="H9" s="31" t="str">
        <x:v>修复并重新测试前不得进入CF-05接受候选</x:v>
      </x:c>
    </x:row>
    <x:row r="10">
      <x:c r="A10" s="29" t="str">
        <x:v>P0</x:v>
      </x:c>
      <x:c r="B10" s="27" t="str">
        <x:v>C002 扩散系数</x:v>
      </x:c>
      <x:c r="C10" s="27" t="str">
        <x:v>1 eV分支得到D/D0=1，而正确量级约9.1×10⁻⁶</x:v>
      </x:c>
      <x:c r="D10" s="27" t="str">
        <x:v>统一eV/粒子与J/mol换算</x:v>
      </x:c>
      <x:c r="F10" s="32" t="str">
        <x:v>candidate_after_minor_clarification</x:v>
      </x:c>
      <x:c r="G10" s="32" t="n">
        <x:v>3</x:v>
      </x:c>
      <x:c r="H10" s="32" t="str">
        <x:v>仅表示适合进一步人工复核，不等于接受</x:v>
      </x:c>
    </x:row>
    <x:row r="11">
      <x:c r="A11" s="29" t="str">
        <x:v>P0</x:v>
      </x:c>
      <x:c r="B11" s="27" t="str">
        <x:v>B005 物种Gibbs能</x:v>
      </x:c>
      <x:c r="C11" s="27" t="str">
        <x:v>H°−H°298与绝对S直接组合，参考态不一致</x:v>
      </x:c>
      <x:c r="D11" s="27" t="str">
        <x:v>加入标准生成焓或更名为增量</x:v>
      </x:c>
      <x:c r="F11" s="27" t="str">
        <x:v>human confirmed</x:v>
      </x:c>
      <x:c r="G11" s="27" t="n">
        <x:v>0</x:v>
      </x:c>
      <x:c r="H11" s="27" t="str">
        <x:v>等待在“17工具复审”中填写</x:v>
      </x:c>
    </x:row>
    <x:row r="12">
      <x:c r="A12" s="29" t="str">
        <x:v>P0</x:v>
      </x:c>
      <x:c r="B12" s="27" t="str">
        <x:v>B008 反应Gibbs能</x:v>
      </x:c>
      <x:c r="C12" s="27" t="str">
        <x:v>pressure输入完全不影响输出</x:v>
      </x:c>
      <x:c r="D12" s="27" t="str">
        <x:v>区分标准态ΔG°与实际反应商</x:v>
      </x:c>
      <x:c r="F12" s="27" t="str">
        <x:v>formal accepted</x:v>
      </x:c>
      <x:c r="G12" s="27" t="n">
        <x:v>0</x:v>
      </x:c>
      <x:c r="H12" s="27" t="str">
        <x:v>本工作簿无权生成正式接受状态</x:v>
      </x:c>
    </x:row>
    <x:row r="13">
      <x:c r="A13" s="29" t="str">
        <x:v>P0</x:v>
      </x:c>
      <x:c r="B13" s="27" t="str">
        <x:v>B009 平衡常数</x:v>
      </x:c>
      <x:c r="C13" s="27" t="str">
        <x:v>T=0触发INTERNAL_ERROR且上游ΔG°不完整</x:v>
      </x:c>
      <x:c r="D13" s="27" t="str">
        <x:v>前置边界校验并修复ΔG°(T)</x:v>
      </x:c>
    </x:row>
    <x:row r="14">
      <x:c r="A14" s="30" t="str">
        <x:v>P1</x:v>
      </x:c>
      <x:c r="B14" s="27" t="str">
        <x:v>A001 单位换算</x:v>
      </x:c>
      <x:c r="C14" s="27" t="str">
        <x:v>1 kg→m仍返回success及value=1</x:v>
      </x:c>
      <x:c r="D14" s="27" t="str">
        <x:v>跨量纲必须失败</x:v>
      </x:c>
    </x:row>
    <x:row r="15">
      <x:c r="A15" s="30" t="str">
        <x:v>P1</x:v>
      </x:c>
      <x:c r="B15" s="27" t="str">
        <x:v>A002/A003</x:v>
      </x:c>
      <x:c r="C15" s="27" t="str">
        <x:v>Fe2O3abc被静默解析并计算</x:v>
      </x:c>
      <x:c r="D15" s="27" t="str">
        <x:v>解析器必须完整消费输入</x:v>
      </x:c>
    </x:row>
    <x:row r="16">
      <x:c r="A16" s="30" t="str">
        <x:v>P1</x:v>
      </x:c>
      <x:c r="B16" s="27" t="str">
        <x:v>B002 NASA工具</x:v>
      </x:c>
      <x:c r="C16" s="27" t="str">
        <x:v>实际输出方法为Shomate（NASA近似）</x:v>
      </x:c>
      <x:c r="D16" s="27" t="str">
        <x:v>真正实现NASA 7/9项或与B001合并</x:v>
      </x:c>
    </x:row>
    <x:row r="17">
      <x:c r="A17" s="30" t="str">
        <x:v>P1</x:v>
      </x:c>
      <x:c r="B17" s="27" t="str">
        <x:v>B006/B007/C001等</x:v>
      </x:c>
      <x:c r="C17" s="27" t="str">
        <x:v>温度语义或非物理输入校验不足</x:v>
      </x:c>
      <x:c r="D17" s="27" t="str">
        <x:v>按复审表逐项修订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9" hidden="0" customWidth="1"/>
    <x:col min="4" max="4" width="35" hidden="0" customWidth="1"/>
    <x:col min="5" max="5" width="12" hidden="0" customWidth="1"/>
    <x:col min="6" max="6" width="38" hidden="0" customWidth="1"/>
    <x:col min="7" max="7" width="48" hidden="0" customWidth="1"/>
    <x:col min="8" max="8" width="48" hidden="0" customWidth="1"/>
    <x:col min="9" max="9" width="45" hidden="0" customWidth="1"/>
    <x:col min="10" max="10" width="14" hidden="0" customWidth="1"/>
    <x:col min="11" max="11" width="20" hidden="0" customWidth="1"/>
    <x:col min="12" max="12" width="30" hidden="0" customWidth="1"/>
    <x:col min="13" max="13" width="20" hidden="0" customWidth="1"/>
    <x:col min="14" max="14" width="15" hidden="0" customWidth="1"/>
    <x:col min="15" max="15" width="18" hidden="0" customWidth="1"/>
    <x:col min="16" max="16" width="38" hidden="0" customWidth="1"/>
    <x:col min="17" max="17" width="30" hidden="0" customWidth="1"/>
  </x:cols>
  <x:sheetData>
    <x:row r="1">
      <x:c r="A1" s="21" t="str">
        <x:v>model_id</x:v>
      </x:c>
      <x:c r="B1" s="21" t="str">
        <x:v>model_name</x:v>
      </x:c>
      <x:c r="C1" s="21" t="str">
        <x:v>category</x:v>
      </x:c>
      <x:c r="D1" s="21" t="str">
        <x:v>ai_disposition</x:v>
      </x:c>
      <x:c r="E1" s="21" t="str">
        <x:v>risk_level</x:v>
      </x:c>
      <x:c r="F1" s="21" t="str">
        <x:v>scientific_scope</x:v>
      </x:c>
      <x:c r="G1" s="21" t="str">
        <x:v>key_risk</x:v>
      </x:c>
      <x:c r="H1" s="21" t="str">
        <x:v>required_action</x:v>
      </x:c>
      <x:c r="I1" s="21" t="str">
        <x:v>diagnostic_summary</x:v>
      </x:c>
      <x:c r="J1" s="21" t="str">
        <x:v>golden_case_count</x:v>
      </x:c>
      <x:c r="K1" s="21" t="str">
        <x:v>generated_invalid_input_case_count</x:v>
      </x:c>
      <x:c r="L1" s="21" t="str">
        <x:v>source_file</x:v>
      </x:c>
      <x:c r="M1" s="21" t="str">
        <x:v>human_decision</x:v>
      </x:c>
      <x:c r="N1" s="21" t="str">
        <x:v>human_reviewer</x:v>
      </x:c>
      <x:c r="O1" s="21" t="str">
        <x:v>reviewed_at</x:v>
      </x:c>
      <x:c r="P1" s="21" t="str">
        <x:v>human_note</x:v>
      </x:c>
      <x:c r="Q1" s="21" t="str">
        <x:v>review_gate</x:v>
      </x:c>
    </x:row>
    <x:row r="2">
      <x:c r="A2" s="34" t="str">
        <x:v>A001</x:v>
      </x:c>
      <x:c r="B2" s="34" t="str">
        <x:v>单位换算</x:v>
      </x:c>
      <x:c r="C2" s="34" t="str">
        <x:v>通用数据与校验</x:v>
      </x:c>
      <x:c r="D2" s="34" t="str">
        <x:v>revision_required_before_acceptance</x:v>
      </x:c>
      <x:c r="E2" s="34" t="str">
        <x:v>high</x:v>
      </x:c>
      <x:c r="F2" s="34" t="str">
        <x:v>线性单位换算和有限的温标偏移换算。</x:v>
      </x:c>
      <x:c r="G2" s="34" t="str">
        <x:v>委托路径使用strict=False，实测1 kg→m仍返回success和数值1.0；维度错误没有成为调用失败。</x:v>
      </x:c>
      <x:c r="H2" s="34" t="str">
        <x:v>跨量纲必须返回失败；冻结支持单位表和温标边界，并明确仿射温标不能只用conversion_factor表达。</x:v>
      </x:c>
      <x:c r="I2" s="34" t="str">
        <x:v>1 kg→m: success=true; value=1; boundary_passed=false</x:v>
      </x:c>
      <x:c r="J2" s="34" t="n">
        <x:v>12</x:v>
      </x:c>
      <x:c r="K2" s="34" t="n">
        <x:v>15</x:v>
      </x:c>
      <x:c r="L2" s="34" t="str">
        <x:v>Tools/models_core/models_a.py</x:v>
      </x:c>
      <x:c r="M2" s="34"/>
      <x:c r="N2" s="34"/>
      <x:c r="O2" s="34"/>
      <x:c r="P2" s="34"/>
      <x:c r="Q2" s="34" t="str">
        <x:f>IF(M2="","待人工确认",IF(M2="无法判断需专家","升级专家复核",IF(M2="拒绝工具","排除","人工结论已记录；仍非正式accepted")))</x:f>
        <x:v>待人工确认</x:v>
      </x:c>
    </x:row>
    <x:row r="3">
      <x:c r="A3" s="34" t="str">
        <x:v>A002</x:v>
      </x:c>
      <x:c r="B3" s="34" t="str">
        <x:v>化学式解析</x:v>
      </x:c>
      <x:c r="C3" s="34" t="str">
        <x:v>通用数据与校验</x:v>
      </x:c>
      <x:c r="D3" s="34" t="str">
        <x:v>revision_required_before_acceptance</x:v>
      </x:c>
      <x:c r="E3" s="34" t="str">
        <x:v>high</x:v>
      </x:c>
      <x:c r="F3" s="34" t="str">
        <x:v>普通化学式、括号与化学计量数解析。</x:v>
      </x:c>
      <x:c r="G3" s="34" t="str">
        <x:v>解析器没有验证输入字符串被完整消费，尾随非法字符可被静默忽略。</x:v>
      </x:c>
      <x:c r="H3" s="34" t="str">
        <x:v>改为完整词法解析；遇到任何未消费字符、非法小数或水合物/电荷等未支持语法必须显式拒绝。</x:v>
      </x:c>
      <x:c r="I3" s="34" t="str">
        <x:v>非物理/非法输入仍返回 success=true; error_code=null</x:v>
      </x:c>
      <x:c r="J3" s="34" t="n">
        <x:v>10</x:v>
      </x:c>
      <x:c r="K3" s="34" t="n">
        <x:v>5</x:v>
      </x:c>
      <x:c r="L3" s="34" t="str">
        <x:v>Tools/models_core/models_a.py</x:v>
      </x:c>
      <x:c r="M3" s="34"/>
      <x:c r="N3" s="34"/>
      <x:c r="O3" s="34"/>
      <x:c r="P3" s="34"/>
      <x:c r="Q3" s="34" t="str">
        <x:f>IF(M3="","待人工确认",IF(M3="无法判断需专家","升级专家复核",IF(M3="拒绝工具","排除","人工结论已记录；仍非正式accepted")))</x:f>
        <x:v>待人工确认</x:v>
      </x:c>
    </x:row>
    <x:row r="4">
      <x:c r="A4" s="34" t="str">
        <x:v>A003</x:v>
      </x:c>
      <x:c r="B4" s="34" t="str">
        <x:v>摩尔质量计算</x:v>
      </x:c>
      <x:c r="C4" s="34" t="str">
        <x:v>通用数据与校验</x:v>
      </x:c>
      <x:c r="D4" s="34" t="str">
        <x:v>revision_required_before_acceptance</x:v>
      </x:c>
      <x:c r="E4" s="34" t="str">
        <x:v>high</x:v>
      </x:c>
      <x:c r="F4" s="34" t="str">
        <x:v>基于标准原子量的化学式摩尔质量计算。</x:v>
      </x:c>
      <x:c r="G4" s="34" t="str">
        <x:v>依赖A002解析器，非法尾随字符会被忽略；原子量版本需要可追溯冻结。</x:v>
      </x:c>
      <x:c r="H4" s="34" t="str">
        <x:v>先修复A002完整解析，再冻结CIAAW/IUPAC原子量版本、例外元素和不确定度说明。</x:v>
      </x:c>
      <x:c r="I4" s="34" t="str">
        <x:v>非物理/非法输入仍返回 success=true; error_code=null</x:v>
      </x:c>
      <x:c r="J4" s="34" t="n">
        <x:v>10</x:v>
      </x:c>
      <x:c r="K4" s="34" t="n">
        <x:v>5</x:v>
      </x:c>
      <x:c r="L4" s="34" t="str">
        <x:v>Tools/models_core/models_a.py</x:v>
      </x:c>
      <x:c r="M4" s="34"/>
      <x:c r="N4" s="34"/>
      <x:c r="O4" s="34"/>
      <x:c r="P4" s="34"/>
      <x:c r="Q4" s="34" t="str">
        <x:f>IF(M4="","待人工确认",IF(M4="无法判断需专家","升级专家复核",IF(M4="拒绝工具","排除","人工结论已记录；仍非正式accepted")))</x:f>
        <x:v>待人工确认</x:v>
      </x:c>
    </x:row>
    <x:row r="5">
      <x:c r="A5" s="34" t="str">
        <x:v>A004</x:v>
      </x:c>
      <x:c r="B5" s="34" t="str">
        <x:v>成分归一化</x:v>
      </x:c>
      <x:c r="C5" s="34" t="str">
        <x:v>通用数据与校验</x:v>
      </x:c>
      <x:c r="D5" s="34" t="str">
        <x:v>revision_required_before_acceptance</x:v>
      </x:c>
      <x:c r="E5" s="34" t="str">
        <x:v>high</x:v>
      </x:c>
      <x:c r="F5" s="34" t="str">
        <x:v>质量分数或摩尔分数的归一化。</x:v>
      </x:c>
      <x:c r="G5" s="34" t="str">
        <x:v>当前允许负组分和非有限值，且未显式记录质量/摩尔基准。</x:v>
      </x:c>
      <x:c r="H5" s="34" t="str">
        <x:v>拒绝负数、NaN和无穷值；增加composition_basis并规定容差语义。</x:v>
      </x:c>
      <x:c r="I5" s="34" t="str">
        <x:v>非物理/非法输入仍返回 success=true; error_code=null</x:v>
      </x:c>
      <x:c r="J5" s="34" t="n">
        <x:v>8</x:v>
      </x:c>
      <x:c r="K5" s="34" t="n">
        <x:v>5</x:v>
      </x:c>
      <x:c r="L5" s="34" t="str">
        <x:v>Tools/models_core/models_a.py</x:v>
      </x:c>
      <x:c r="M5" s="34"/>
      <x:c r="N5" s="34"/>
      <x:c r="O5" s="34"/>
      <x:c r="P5" s="34"/>
      <x:c r="Q5" s="34" t="str">
        <x:f>IF(M5="","待人工确认",IF(M5="无法判断需专家","升级专家复核",IF(M5="拒绝工具","排除","人工结论已记录；仍非正式accepted")))</x:f>
        <x:v>待人工确认</x:v>
      </x:c>
    </x:row>
    <x:row r="6">
      <x:c r="A6" s="34" t="str">
        <x:v>A005</x:v>
      </x:c>
      <x:c r="B6" s="34" t="str">
        <x:v>元素质量守恒校验</x:v>
      </x:c>
      <x:c r="C6" s="34" t="str">
        <x:v>通用数据与校验</x:v>
      </x:c>
      <x:c r="D6" s="34" t="str">
        <x:v>revision_required_before_acceptance</x:v>
      </x:c>
      <x:c r="E6" s="34" t="str">
        <x:v>high</x:v>
      </x:c>
      <x:c r="F6" s="34" t="str">
        <x:v>按物料流计算元素输入、输出和守恒残差。</x:v>
      </x:c>
      <x:c r="G6" s="34" t="str">
        <x:v>当前允许负质量/负分数；tolerance按绝对质量残差比较但未声明单位，输出Schema与实际closure字段也需对齐。</x:v>
      </x:c>
      <x:c r="H6" s="34" t="str">
        <x:v>校验质量和分数非负、分数基准与总和；把绝对/相对容差分开，并对齐输出契约。</x:v>
      </x:c>
      <x:c r="I6" s="34" t="str">
        <x:v>非物理/非法输入仍返回 success=true; error_code=null</x:v>
      </x:c>
      <x:c r="J6" s="34" t="n">
        <x:v>6</x:v>
      </x:c>
      <x:c r="K6" s="34" t="n">
        <x:v>10</x:v>
      </x:c>
      <x:c r="L6" s="34" t="str">
        <x:v>Tools/models_core/models_a.py</x:v>
      </x:c>
      <x:c r="M6" s="34"/>
      <x:c r="N6" s="34"/>
      <x:c r="O6" s="34"/>
      <x:c r="P6" s="34"/>
      <x:c r="Q6" s="34" t="str">
        <x:f>IF(M6="","待人工确认",IF(M6="无法判断需专家","升级专家复核",IF(M6="拒绝工具","排除","人工结论已记录；仍非正式accepted")))</x:f>
        <x:v>待人工确认</x:v>
      </x:c>
    </x:row>
    <x:row r="7">
      <x:c r="A7" s="34" t="str">
        <x:v>B001</x:v>
      </x:c>
      <x:c r="B7" s="34" t="str">
        <x:v>Shomate 热容计算</x:v>
      </x:c>
      <x:c r="C7" s="34" t="str">
        <x:v>热力学与相平衡</x:v>
      </x:c>
      <x:c r="D7" s="34" t="str">
        <x:v>candidate_after_minor_clarification</x:v>
      </x:c>
      <x:c r="E7" s="34" t="str">
        <x:v>medium</x:v>
      </x:c>
      <x:c r="F7" s="34" t="str">
        <x:v>在给定物种、相态和有效温区内计算Shomate Cp、H°−H°298.15和S°。</x:v>
      </x:c>
      <x:c r="G7" s="34" t="str">
        <x:v>必须严格绑定相态、系数来源和温区；H字段是焓增量，不是绝对焓。</x:v>
      </x:c>
      <x:c r="H7" s="34" t="str">
        <x:v>在Schema和结果中固定相态、有效温区、系数版本及H_minus_H298语义。</x:v>
      </x:c>
      <x:c r="I7" s="34" t="str">
        <x:v>边界诊断返回 success=false; error_code=MISSING_DATA</x:v>
      </x:c>
      <x:c r="J7" s="34" t="n">
        <x:v>8</x:v>
      </x:c>
      <x:c r="K7" s="34" t="n">
        <x:v>10</x:v>
      </x:c>
      <x:c r="L7" s="34" t="str">
        <x:v>Tools/models_core/models_b.py</x:v>
      </x:c>
      <x:c r="M7" s="34"/>
      <x:c r="N7" s="34"/>
      <x:c r="O7" s="34"/>
      <x:c r="P7" s="34"/>
      <x:c r="Q7" s="34" t="str">
        <x:f>IF(M7="","待人工确认",IF(M7="无法判断需专家","升级专家复核",IF(M7="拒绝工具","排除","人工结论已记录；仍非正式accepted")))</x:f>
        <x:v>待人工确认</x:v>
      </x:c>
    </x:row>
    <x:row r="8">
      <x:c r="A8" s="34" t="str">
        <x:v>B002</x:v>
      </x:c>
      <x:c r="B8" s="34" t="str">
        <x:v>NASA 多项式热物性计算</x:v>
      </x:c>
      <x:c r="C8" s="34" t="str">
        <x:v>热力学与相平衡</x:v>
      </x:c>
      <x:c r="D8" s="34" t="str">
        <x:v>revision_required_before_acceptance</x:v>
      </x:c>
      <x:c r="E8" s="34" t="str">
        <x:v>high</x:v>
      </x:c>
      <x:c r="F8" s="34" t="str">
        <x:v>名义上是NASA多项式热物性计算。</x:v>
      </x:c>
      <x:c r="G8" s="34" t="str">
        <x:v>当前实际调用Shomate并明确标注“NASA近似”，不构成独立NASA多项式实现。</x:v>
      </x:c>
      <x:c r="H8" s="34" t="str">
        <x:v>实现真正NASA 7/9项系数和温区，或与B001合并并更名，不能按独立NASA工具接受。</x:v>
      </x:c>
      <x:c r="I8" s="34" t="str">
        <x:v>method=Shomate 多项式（NASA 近似）; success=true</x:v>
      </x:c>
      <x:c r="J8" s="34" t="n">
        <x:v>6</x:v>
      </x:c>
      <x:c r="K8" s="34" t="n">
        <x:v>10</x:v>
      </x:c>
      <x:c r="L8" s="34" t="str">
        <x:v>Tools/models_core/models_b.py</x:v>
      </x:c>
      <x:c r="M8" s="34"/>
      <x:c r="N8" s="34"/>
      <x:c r="O8" s="34"/>
      <x:c r="P8" s="34"/>
      <x:c r="Q8" s="34" t="str">
        <x:f>IF(M8="","待人工确认",IF(M8="无法判断需专家","升级专家复核",IF(M8="拒绝工具","排除","人工结论已记录；仍非正式accepted")))</x:f>
        <x:v>待人工确认</x:v>
      </x:c>
    </x:row>
    <x:row r="9">
      <x:c r="A9" s="34" t="str">
        <x:v>B003</x:v>
      </x:c>
      <x:c r="B9" s="34" t="str">
        <x:v>显热与焓积分</x:v>
      </x:c>
      <x:c r="C9" s="34" t="str">
        <x:v>热力学与相平衡</x:v>
      </x:c>
      <x:c r="D9" s="34" t="str">
        <x:v>revision_required_before_acceptance</x:v>
      </x:c>
      <x:c r="E9" s="34" t="str">
        <x:v>critical</x:v>
      </x:c>
      <x:c r="F9" s="34" t="str">
        <x:v>由Shomate焓函数计算两温度间显热。</x:v>
      </x:c>
      <x:c r="G9" s="34" t="str">
        <x:v>结果为摩尔焓差，却直接乘以mass(g)，存在量纲错误；同时不含相变潜热。</x:v>
      </x:c>
      <x:c r="H9" s="34" t="str">
        <x:v>输入改为amount_mol，或使用摩尔质量把质量换算为物质的量；跨相变时拒绝或加入潜热。</x:v>
      </x:c>
      <x:c r="I9" s="34" t="str">
        <x:v>1g结果=18.7941; 2g结果=37.5882; 比值=2</x:v>
      </x:c>
      <x:c r="J9" s="34" t="n">
        <x:v>8</x:v>
      </x:c>
      <x:c r="K9" s="34" t="n">
        <x:v>15</x:v>
      </x:c>
      <x:c r="L9" s="34" t="str">
        <x:v>Tools/models_core/models_b.py</x:v>
      </x:c>
      <x:c r="M9" s="34"/>
      <x:c r="N9" s="34"/>
      <x:c r="O9" s="34"/>
      <x:c r="P9" s="34"/>
      <x:c r="Q9" s="34" t="str">
        <x:f>IF(M9="","待人工确认",IF(M9="无法判断需专家","升级专家复核",IF(M9="拒绝工具","排除","人工结论已记录；仍非正式accepted")))</x:f>
        <x:v>待人工确认</x:v>
      </x:c>
    </x:row>
    <x:row r="10">
      <x:c r="A10" s="34" t="str">
        <x:v>B004</x:v>
      </x:c>
      <x:c r="B10" s="34" t="str">
        <x:v>熵积分</x:v>
      </x:c>
      <x:c r="C10" s="34" t="str">
        <x:v>热力学与相平衡</x:v>
      </x:c>
      <x:c r="D10" s="34" t="str">
        <x:v>candidate_after_minor_clarification</x:v>
      </x:c>
      <x:c r="E10" s="34" t="str">
        <x:v>medium</x:v>
      </x:c>
      <x:c r="F10" s="34" t="str">
        <x:v>同一相态和有效温区内的S(T2)−S(T1)。</x:v>
      </x:c>
      <x:c r="G10" s="34" t="str">
        <x:v>跨相变不包含相变熵；名称写“数值积分”，实现实际上使用Shomate解析熵差。</x:v>
      </x:c>
      <x:c r="H10" s="34" t="str">
        <x:v>限制同相态有效温区，并把方法描述改为解析熵差或加入分段积分。</x:v>
      </x:c>
      <x:c r="I10" s="34" t="str">
        <x:v>边界诊断返回 success=false; error_code=INVALID_INPUT</x:v>
      </x:c>
      <x:c r="J10" s="34" t="n">
        <x:v>6</x:v>
      </x:c>
      <x:c r="K10" s="34" t="n">
        <x:v>15</x:v>
      </x:c>
      <x:c r="L10" s="34" t="str">
        <x:v>Tools/models_core/models_b.py</x:v>
      </x:c>
      <x:c r="M10" s="34"/>
      <x:c r="N10" s="34"/>
      <x:c r="O10" s="34"/>
      <x:c r="P10" s="34"/>
      <x:c r="Q10" s="34" t="str">
        <x:f>IF(M10="","待人工确认",IF(M10="无法判断需专家","升级专家复核",IF(M10="拒绝工具","排除","人工结论已记录；仍非正式accepted")))</x:f>
        <x:v>待人工确认</x:v>
      </x:c>
    </x:row>
    <x:row r="11">
      <x:c r="A11" s="34" t="str">
        <x:v>B005</x:v>
      </x:c>
      <x:c r="B11" s="34" t="str">
        <x:v>物种 Gibbs 自由能计算</x:v>
      </x:c>
      <x:c r="C11" s="34" t="str">
        <x:v>热力学与相平衡</x:v>
      </x:c>
      <x:c r="D11" s="34" t="str">
        <x:v>revision_required_before_acceptance</x:v>
      </x:c>
      <x:c r="E11" s="34" t="str">
        <x:v>critical</x:v>
      </x:c>
      <x:c r="F11" s="34" t="str">
        <x:v>由焓和熵构造单物种Gibbs能。</x:v>
      </x:c>
      <x:c r="G11" s="34" t="str">
        <x:v>当前用H°−H°298.15与绝对S°直接计算G，参考态不一致，结果不是完整标准摩尔Gibbs能。</x:v>
      </x:c>
      <x:c r="H11" s="34" t="str">
        <x:v>加入标准生成焓/一致参考态，或把工具明确改名为热Gibbs函数增量。</x:v>
      </x:c>
      <x:c r="I11" s="34" t="str">
        <x:v>298.15K: G=-2.1052 kJ/mol, H=5.9777, S=27.1101</x:v>
      </x:c>
      <x:c r="J11" s="34" t="n">
        <x:v>6</x:v>
      </x:c>
      <x:c r="K11" s="34" t="n">
        <x:v>10</x:v>
      </x:c>
      <x:c r="L11" s="34" t="str">
        <x:v>Tools/models_core/models_b.py</x:v>
      </x:c>
      <x:c r="M11" s="34"/>
      <x:c r="N11" s="34"/>
      <x:c r="O11" s="34"/>
      <x:c r="P11" s="34"/>
      <x:c r="Q11" s="34" t="str">
        <x:f>IF(M11="","待人工确认",IF(M11="无法判断需专家","升级专家复核",IF(M11="拒绝工具","排除","人工结论已记录；仍非正式accepted")))</x:f>
        <x:v>待人工确认</x:v>
      </x:c>
    </x:row>
    <x:row r="12">
      <x:c r="A12" s="34" t="str">
        <x:v>B006</x:v>
      </x:c>
      <x:c r="B12" s="34" t="str">
        <x:v>反应焓计算</x:v>
      </x:c>
      <x:c r="C12" s="34" t="str">
        <x:v>热力学与相平衡</x:v>
      </x:c>
      <x:c r="D12" s="34" t="str">
        <x:v>revision_required_before_acceptance</x:v>
      </x:c>
      <x:c r="E12" s="34" t="str">
        <x:v>high</x:v>
      </x:c>
      <x:c r="F12" s="34" t="str">
        <x:v>由各物种热化学数据计算反应焓。</x:v>
      </x:c>
      <x:c r="G12" s="34" t="str">
        <x:v>内置兜底对任意温度返回同一298.15 K反应焓；数据库路径也未完整加入各物种显热修正。</x:v>
      </x:c>
      <x:c r="H12" s="34" t="str">
        <x:v>明确仅支持298.15 K，或使用一致的Cp/焓函数计算ΔrH(T)。</x:v>
      </x:c>
      <x:c r="I12" s="34" t="str">
        <x:v>ΔH(298K)=-393.5; ΔH(1200K)=-393.5</x:v>
      </x:c>
      <x:c r="J12" s="34" t="n">
        <x:v>6</x:v>
      </x:c>
      <x:c r="K12" s="34" t="n">
        <x:v>5</x:v>
      </x:c>
      <x:c r="L12" s="34" t="str">
        <x:v>Tools/models_core/models_b.py</x:v>
      </x:c>
      <x:c r="M12" s="34"/>
      <x:c r="N12" s="34"/>
      <x:c r="O12" s="34"/>
      <x:c r="P12" s="34"/>
      <x:c r="Q12" s="34" t="str">
        <x:f>IF(M12="","待人工确认",IF(M12="无法判断需专家","升级专家复核",IF(M12="拒绝工具","排除","人工结论已记录；仍非正式accepted")))</x:f>
        <x:v>待人工确认</x:v>
      </x:c>
    </x:row>
    <x:row r="13">
      <x:c r="A13" s="34" t="str">
        <x:v>B007</x:v>
      </x:c>
      <x:c r="B13" s="34" t="str">
        <x:v>反应熵计算</x:v>
      </x:c>
      <x:c r="C13" s="34" t="str">
        <x:v>热力学与相平衡</x:v>
      </x:c>
      <x:c r="D13" s="34" t="str">
        <x:v>revision_required_before_acceptance</x:v>
      </x:c>
      <x:c r="E13" s="34" t="str">
        <x:v>high</x:v>
      </x:c>
      <x:c r="F13" s="34" t="str">
        <x:v>由各物种标准熵计算反应熵。</x:v>
      </x:c>
      <x:c r="G13" s="34" t="str">
        <x:v>内置兜底对任意温度返回同一ΔS；数据库与兜底的温度语义不一致。</x:v>
      </x:c>
      <x:c r="H13" s="34" t="str">
        <x:v>明确298.15 K限定，或逐物种计算S°(T)并统一数据库/兜底行为。</x:v>
      </x:c>
      <x:c r="I13" s="34" t="str">
        <x:v>ΔS(298K)=2.9; ΔS(1200K)=2.9</x:v>
      </x:c>
      <x:c r="J13" s="34" t="n">
        <x:v>6</x:v>
      </x:c>
      <x:c r="K13" s="34" t="n">
        <x:v>5</x:v>
      </x:c>
      <x:c r="L13" s="34" t="str">
        <x:v>Tools/models_core/models_b.py</x:v>
      </x:c>
      <x:c r="M13" s="34"/>
      <x:c r="N13" s="34"/>
      <x:c r="O13" s="34"/>
      <x:c r="P13" s="34"/>
      <x:c r="Q13" s="34" t="str">
        <x:f>IF(M13="","待人工确认",IF(M13="无法判断需专家","升级专家复核",IF(M13="拒绝工具","排除","人工结论已记录；仍非正式accepted")))</x:f>
        <x:v>待人工确认</x:v>
      </x:c>
    </x:row>
    <x:row r="14">
      <x:c r="A14" s="34" t="str">
        <x:v>B008</x:v>
      </x:c>
      <x:c r="B14" s="34" t="str">
        <x:v>反应 Gibbs 自由能计算</x:v>
      </x:c>
      <x:c r="C14" s="34" t="str">
        <x:v>热力学与相平衡</x:v>
      </x:c>
      <x:c r="D14" s="34" t="str">
        <x:v>revision_required_before_acceptance</x:v>
      </x:c>
      <x:c r="E14" s="34" t="str">
        <x:v>critical</x:v>
      </x:c>
      <x:c r="F14" s="34" t="str">
        <x:v>由ΔH和ΔS估算标准反应Gibbs能。</x:v>
      </x:c>
      <x:c r="G14" s="34" t="str">
        <x:v>继承B006/B007温度问题；pressure输入完全未参与计算，却输出反应方向判断。</x:v>
      </x:c>
      <x:c r="H14" s="34" t="str">
        <x:v>删除无效pressure参数或引入活度/分压项；使用一致的ΔrG°(T)，区分标准态与实际反应商。</x:v>
      </x:c>
      <x:c r="I14" s="34" t="str">
        <x:v>低压ΔG=-396.4; 高压ΔG=-396.4</x:v>
      </x:c>
      <x:c r="J14" s="34" t="n">
        <x:v>8</x:v>
      </x:c>
      <x:c r="K14" s="34" t="n">
        <x:v>5</x:v>
      </x:c>
      <x:c r="L14" s="34" t="str">
        <x:v>Tools/models_core/models_b.py</x:v>
      </x:c>
      <x:c r="M14" s="34"/>
      <x:c r="N14" s="34"/>
      <x:c r="O14" s="34"/>
      <x:c r="P14" s="34"/>
      <x:c r="Q14" s="34" t="str">
        <x:f>IF(M14="","待人工确认",IF(M14="无法判断需专家","升级专家复核",IF(M14="拒绝工具","排除","人工结论已记录；仍非正式accepted")))</x:f>
        <x:v>待人工确认</x:v>
      </x:c>
    </x:row>
    <x:row r="15">
      <x:c r="A15" s="34" t="str">
        <x:v>B009</x:v>
      </x:c>
      <x:c r="B15" s="34" t="str">
        <x:v>平衡常数计算</x:v>
      </x:c>
      <x:c r="C15" s="34" t="str">
        <x:v>热力学与相平衡</x:v>
      </x:c>
      <x:c r="D15" s="34" t="str">
        <x:v>revision_required_before_acceptance</x:v>
      </x:c>
      <x:c r="E15" s="34" t="str">
        <x:v>critical</x:v>
      </x:c>
      <x:c r="F15" s="34" t="str">
        <x:v>由标准反应Gibbs能计算热力学平衡常数。</x:v>
      </x:c>
      <x:c r="G15" s="34" t="str">
        <x:v>公式本身正确，但上游ΔG°温度处理不完整；T≤0没有前置校验，指数可能溢出。</x:v>
      </x:c>
      <x:c r="H15" s="34" t="str">
        <x:v>先修复ΔrG°(T)，再增加T&gt;0、指数稳定计算和无量纲标准态说明。</x:v>
      </x:c>
      <x:c r="I15" s="34" t="str">
        <x:v>T=0: success=false; error_code=INTERNAL_ERROR</x:v>
      </x:c>
      <x:c r="J15" s="34" t="n">
        <x:v>8</x:v>
      </x:c>
      <x:c r="K15" s="34" t="n">
        <x:v>5</x:v>
      </x:c>
      <x:c r="L15" s="34" t="str">
        <x:v>Tools/models_core/models_b.py</x:v>
      </x:c>
      <x:c r="M15" s="34"/>
      <x:c r="N15" s="34"/>
      <x:c r="O15" s="34"/>
      <x:c r="P15" s="34"/>
      <x:c r="Q15" s="34" t="str">
        <x:f>IF(M15="","待人工确认",IF(M15="无法判断需专家","升级专家复核",IF(M15="拒绝工具","排除","人工结论已记录；仍非正式accepted")))</x:f>
        <x:v>待人工确认</x:v>
      </x:c>
    </x:row>
    <x:row r="16">
      <x:c r="A16" s="34" t="str">
        <x:v>B019</x:v>
      </x:c>
      <x:c r="B16" s="34" t="str">
        <x:v>杠杆规则计算</x:v>
      </x:c>
      <x:c r="C16" s="34" t="str">
        <x:v>热力学与相平衡</x:v>
      </x:c>
      <x:c r="D16" s="34" t="str">
        <x:v>candidate_after_minor_clarification</x:v>
      </x:c>
      <x:c r="E16" s="34" t="str">
        <x:v>low</x:v>
      </x:c>
      <x:c r="F16" s="34" t="str">
        <x:v>二元系两相区的杠杆规则相分数计算。</x:v>
      </x:c>
      <x:c r="G16" s="34" t="str">
        <x:v>需要明确质量/摩尔分数基准，并禁止把结果外推到多元系或多相区。</x:v>
      </x:c>
      <x:c r="H16" s="34" t="str">
        <x:v>增加composition_basis枚举并保留总体成分必须位于两端点之间的校验。</x:v>
      </x:c>
      <x:c r="I16" s="34" t="str">
        <x:v>边界诊断返回 success=false; error_code=OUT_OF_DOMAIN</x:v>
      </x:c>
      <x:c r="J16" s="34" t="n">
        <x:v>10</x:v>
      </x:c>
      <x:c r="K16" s="34" t="n">
        <x:v>15</x:v>
      </x:c>
      <x:c r="L16" s="34" t="str">
        <x:v>Tools/models_core/models_b.py</x:v>
      </x:c>
      <x:c r="M16" s="34"/>
      <x:c r="N16" s="34"/>
      <x:c r="O16" s="34"/>
      <x:c r="P16" s="34"/>
      <x:c r="Q16" s="34" t="str">
        <x:f>IF(M16="","待人工确认",IF(M16="无法判断需专家","升级专家复核",IF(M16="拒绝工具","排除","人工结论已记录；仍非正式accepted")))</x:f>
        <x:v>待人工确认</x:v>
      </x:c>
    </x:row>
    <x:row r="17">
      <x:c r="A17" s="34" t="str">
        <x:v>C001</x:v>
      </x:c>
      <x:c r="B17" s="34" t="str">
        <x:v>Arrhenius 速率常数</x:v>
      </x:c>
      <x:c r="C17" s="34" t="str">
        <x:v>动力学与传递</x:v>
      </x:c>
      <x:c r="D17" s="34" t="str">
        <x:v>revision_required_before_acceptance</x:v>
      </x:c>
      <x:c r="E17" s="34" t="str">
        <x:v>high</x:v>
      </x:c>
      <x:c r="F17" s="34" t="str">
        <x:v>经典Arrhenius速率常数。</x:v>
      </x:c>
      <x:c r="G17" s="34" t="str">
        <x:v>未校验A&gt;0、R&gt;0和参数有限性；负A可返回success及-ln无穷值。</x:v>
      </x:c>
      <x:c r="H17" s="34" t="str">
        <x:v>增加A&gt;0、R&gt;0、T&gt;0、有限值检查，并明确A的单位随反应级数变化。</x:v>
      </x:c>
      <x:c r="I17" s="34" t="str">
        <x:v>非物理/非法输入仍返回 success=true; error_code=null</x:v>
      </x:c>
      <x:c r="J17" s="34" t="n">
        <x:v>10</x:v>
      </x:c>
      <x:c r="K17" s="34" t="n">
        <x:v>15</x:v>
      </x:c>
      <x:c r="L17" s="34" t="str">
        <x:v>Tools/models_core/models_c.py</x:v>
      </x:c>
      <x:c r="M17" s="34"/>
      <x:c r="N17" s="34"/>
      <x:c r="O17" s="34"/>
      <x:c r="P17" s="34"/>
      <x:c r="Q17" s="34" t="str">
        <x:f>IF(M17="","待人工确认",IF(M17="无法判断需专家","升级专家复核",IF(M17="拒绝工具","排除","人工结论已记录；仍非正式accepted")))</x:f>
        <x:v>待人工确认</x:v>
      </x:c>
    </x:row>
    <x:row r="18">
      <x:c r="A18" s="34" t="str">
        <x:v>C002</x:v>
      </x:c>
      <x:c r="B18" s="34" t="str">
        <x:v>扩散系数计算</x:v>
      </x:c>
      <x:c r="C18" s="34" t="str">
        <x:v>动力学与传递</x:v>
      </x:c>
      <x:c r="D18" s="34" t="str">
        <x:v>revision_required_before_acceptance</x:v>
      </x:c>
      <x:c r="E18" s="34" t="str">
        <x:v>critical</x:v>
      </x:c>
      <x:c r="F18" s="34" t="str">
        <x:v>Arrhenius型扩散系数。</x:v>
      </x:c>
      <x:c r="G18" s="34" t="str">
        <x:v>eV分支把单粒子eV转成J后仍除以摩尔气体常数R，量纲错误；应使用kB或转成J/mol。</x:v>
      </x:c>
      <x:c r="H18" s="34" t="str">
        <x:v>eV输入乘以Faraday常数转为J/mol，或改用Boltzmann常数；同时校验D0&gt;0与T&gt;0。</x:v>
      </x:c>
      <x:c r="I18" s="34" t="str">
        <x:v>1 eV时 observed D/D0=1; expected≈0.000009124767654268085</x:v>
      </x:c>
      <x:c r="J18" s="34" t="n">
        <x:v>10</x:v>
      </x:c>
      <x:c r="K18" s="34" t="n">
        <x:v>15</x:v>
      </x:c>
      <x:c r="L18" s="34" t="str">
        <x:v>Tools/models_core/models_c.py</x:v>
      </x:c>
      <x:c r="M18" s="34"/>
      <x:c r="N18" s="34"/>
      <x:c r="O18" s="34"/>
      <x:c r="P18" s="34"/>
      <x:c r="Q18" s="34" t="str">
        <x:f>IF(M18="","待人工确认",IF(M18="无法判断需专家","升级专家复核",IF(M18="拒绝工具","排除","人工结论已记录；仍非正式accepted")))</x:f>
        <x:v>待人工确认</x:v>
      </x:c>
    </x:row>
  </x:sheetData>
  <x:conditionalFormatting sqref="D2:D18">
    <x:cfRule type="containsText" dxfId="0" priority="1" operator="containsText" text="revision_required"/>
    <x:cfRule type="containsText" dxfId="1" priority="2" operator="containsText" text="candidate_after"/>
  </x:conditionalFormatting>
  <x:conditionalFormatting sqref="E2:E18">
    <x:cfRule type="containsText" dxfId="2" priority="3" operator="containsText" text="critical"/>
  </x:conditionalFormatting>
  <x:conditionalFormatting sqref="M2:M18">
    <x:cfRule type="containsBlanks" dxfId="3" priority="4"/>
  </x:conditionalFormatting>
  <x:dataValidations count="1">
    <x:dataValidation type="list" sqref="M2:M18">
      <x:formula1>"同意AI结论,调整为候选,调整为需修订,无法判断需专家,拒绝工具"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9a028f58654d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20" hidden="0" customWidth="1"/>
    <x:col min="5" max="5" width="24" hidden="0" customWidth="1"/>
    <x:col min="6" max="6" width="58" hidden="0" customWidth="1"/>
    <x:col min="7" max="7" width="23" hidden="0" customWidth="1"/>
    <x:col min="8" max="8" width="18" hidden="0" customWidth="1"/>
    <x:col min="9" max="9" width="15" hidden="0" customWidth="1"/>
    <x:col min="10" max="10" width="38" hidden="0" customWidth="1"/>
  </x:cols>
  <x:sheetData>
    <x:row r="1" ht="34" customHeight="1">
      <x:c r="A1" s="3" t="str">
        <x:v>17工具命名映射确认</x:v>
      </x:c>
      <x:c r="B1" s="3" t="str">
        <x:v>17工具命名映射确认</x:v>
      </x:c>
      <x:c r="C1" s="3" t="str">
        <x:v>17工具命名映射确认</x:v>
      </x:c>
      <x:c r="D1" s="3" t="str">
        <x:v>17工具命名映射确认</x:v>
      </x:c>
      <x:c r="E1" s="3" t="str">
        <x:v>17工具命名映射确认</x:v>
      </x:c>
      <x:c r="F1" s="3" t="str">
        <x:v>17工具命名映射确认</x:v>
      </x:c>
      <x:c r="G1" s="3" t="str">
        <x:v>17工具命名映射确认</x:v>
      </x:c>
      <x:c r="H1" s="3" t="str">
        <x:v>17工具命名映射确认</x:v>
      </x:c>
      <x:c r="I1" s="3" t="str">
        <x:v>17工具命名映射确认</x:v>
      </x:c>
      <x:c r="J1" s="3" t="str">
        <x:v>17工具命名映射确认</x:v>
      </x:c>
    </x:row>
    <x:row r="2" ht="28" customHeight="1">
      <x:c r="A2" s="6" t="str">
        <x:v>推荐保留model_id为稳定主键和当前LLM函数名；semantic_alias用于可读语义，不在本阶段破坏性重命名。</x:v>
      </x:c>
      <x:c r="B2" s="6" t="str">
        <x:v>推荐保留model_id为稳定主键和当前LLM函数名；semantic_alias用于可读语义，不在本阶段破坏性重命名。</x:v>
      </x:c>
      <x:c r="C2" s="6" t="str">
        <x:v>推荐保留model_id为稳定主键和当前LLM函数名；semantic_alias用于可读语义，不在本阶段破坏性重命名。</x:v>
      </x:c>
      <x:c r="D2" s="6" t="str">
        <x:v>推荐保留model_id为稳定主键和当前LLM函数名；semantic_alias用于可读语义，不在本阶段破坏性重命名。</x:v>
      </x:c>
      <x:c r="E2" s="6" t="str">
        <x:v>推荐保留model_id为稳定主键和当前LLM函数名；semantic_alias用于可读语义，不在本阶段破坏性重命名。</x:v>
      </x:c>
      <x:c r="F2" s="6" t="str">
        <x:v>推荐保留model_id为稳定主键和当前LLM函数名；semantic_alias用于可读语义，不在本阶段破坏性重命名。</x:v>
      </x:c>
      <x:c r="G2" s="6" t="str">
        <x:v>推荐保留model_id为稳定主键和当前LLM函数名；semantic_alias用于可读语义，不在本阶段破坏性重命名。</x:v>
      </x:c>
      <x:c r="H2" s="6" t="str">
        <x:v>推荐保留model_id为稳定主键和当前LLM函数名；semantic_alias用于可读语义，不在本阶段破坏性重命名。</x:v>
      </x:c>
      <x:c r="I2" s="6" t="str">
        <x:v>推荐保留model_id为稳定主键和当前LLM函数名；semantic_alias用于可读语义，不在本阶段破坏性重命名。</x:v>
      </x:c>
      <x:c r="J2" s="6" t="str">
        <x:v>推荐保留model_id为稳定主键和当前LLM函数名；semantic_alias用于可读语义，不在本阶段破坏性重命名。</x:v>
      </x:c>
    </x:row>
    <x:row r="4">
      <x:c r="A4" s="21" t="str">
        <x:v>model_id</x:v>
      </x:c>
      <x:c r="B4" s="21" t="str">
        <x:v>canonical_tool_id</x:v>
      </x:c>
      <x:c r="C4" s="21" t="str">
        <x:v>planned_semantic_alias</x:v>
      </x:c>
      <x:c r="D4" s="21" t="str">
        <x:v>registry_api_name</x:v>
      </x:c>
      <x:c r="E4" s="21" t="str">
        <x:v>runtime_openai_tool_name</x:v>
      </x:c>
      <x:c r="F4" s="21" t="str">
        <x:v>recommended_policy</x:v>
      </x:c>
      <x:c r="G4" s="21" t="str">
        <x:v>mapping_status</x:v>
      </x:c>
      <x:c r="H4" s="21" t="str">
        <x:v>human_decision</x:v>
      </x:c>
      <x:c r="I4" s="21" t="str">
        <x:v>human_reviewer</x:v>
      </x:c>
      <x:c r="J4" s="21" t="str">
        <x:v>human_note</x:v>
      </x:c>
    </x:row>
    <x:row r="5">
      <x:c r="A5" s="34" t="str">
        <x:v>A001</x:v>
      </x:c>
      <x:c r="B5" s="34" t="str">
        <x:v>A001</x:v>
      </x:c>
      <x:c r="C5" s="34" t="str">
        <x:v>convert_units</x:v>
      </x:c>
      <x:c r="D5" s="34" t="str">
        <x:v>model_a001</x:v>
      </x:c>
      <x:c r="E5" s="34" t="str">
        <x:v>A001</x:v>
      </x:c>
      <x:c r="F5" s="34" t="str">
        <x:v>保留model_id为稳定主键和当前LLM函数名；保留规划API函数名为semantic_alias；日志同时记录三者，不在本阶段破坏性重命名。</x:v>
      </x:c>
      <x:c r="G5" s="34" t="str">
        <x:v>proposed_not_frozen</x:v>
      </x:c>
      <x:c r="H5" s="34"/>
      <x:c r="I5" s="34"/>
      <x:c r="J5" s="34"/>
    </x:row>
    <x:row r="6">
      <x:c r="A6" s="34" t="str">
        <x:v>A002</x:v>
      </x:c>
      <x:c r="B6" s="34" t="str">
        <x:v>A002</x:v>
      </x:c>
      <x:c r="C6" s="34" t="str">
        <x:v>parse_chemical_formula</x:v>
      </x:c>
      <x:c r="D6" s="34" t="str">
        <x:v>model_a002</x:v>
      </x:c>
      <x:c r="E6" s="34" t="str">
        <x:v>A002</x:v>
      </x:c>
      <x:c r="F6" s="34" t="str">
        <x:v>保留model_id为稳定主键和当前LLM函数名；保留规划API函数名为semantic_alias；日志同时记录三者，不在本阶段破坏性重命名。</x:v>
      </x:c>
      <x:c r="G6" s="34" t="str">
        <x:v>proposed_not_frozen</x:v>
      </x:c>
      <x:c r="H6" s="34"/>
      <x:c r="I6" s="34"/>
      <x:c r="J6" s="34"/>
    </x:row>
    <x:row r="7">
      <x:c r="A7" s="34" t="str">
        <x:v>A003</x:v>
      </x:c>
      <x:c r="B7" s="34" t="str">
        <x:v>A003</x:v>
      </x:c>
      <x:c r="C7" s="34" t="str">
        <x:v>calc_molar_mass</x:v>
      </x:c>
      <x:c r="D7" s="34" t="str">
        <x:v>model_a003</x:v>
      </x:c>
      <x:c r="E7" s="34" t="str">
        <x:v>A003</x:v>
      </x:c>
      <x:c r="F7" s="34" t="str">
        <x:v>保留model_id为稳定主键和当前LLM函数名；保留规划API函数名为semantic_alias；日志同时记录三者，不在本阶段破坏性重命名。</x:v>
      </x:c>
      <x:c r="G7" s="34" t="str">
        <x:v>proposed_not_frozen</x:v>
      </x:c>
      <x:c r="H7" s="34"/>
      <x:c r="I7" s="34"/>
      <x:c r="J7" s="34"/>
    </x:row>
    <x:row r="8">
      <x:c r="A8" s="34" t="str">
        <x:v>A004</x:v>
      </x:c>
      <x:c r="B8" s="34" t="str">
        <x:v>A004</x:v>
      </x:c>
      <x:c r="C8" s="34" t="str">
        <x:v>normalize_composition</x:v>
      </x:c>
      <x:c r="D8" s="34" t="str">
        <x:v>model_a004</x:v>
      </x:c>
      <x:c r="E8" s="34" t="str">
        <x:v>A004</x:v>
      </x:c>
      <x:c r="F8" s="34" t="str">
        <x:v>保留model_id为稳定主键和当前LLM函数名；保留规划API函数名为semantic_alias；日志同时记录三者，不在本阶段破坏性重命名。</x:v>
      </x:c>
      <x:c r="G8" s="34" t="str">
        <x:v>proposed_not_frozen</x:v>
      </x:c>
      <x:c r="H8" s="34"/>
      <x:c r="I8" s="34"/>
      <x:c r="J8" s="34"/>
    </x:row>
    <x:row r="9">
      <x:c r="A9" s="34" t="str">
        <x:v>A005</x:v>
      </x:c>
      <x:c r="B9" s="34" t="str">
        <x:v>A005</x:v>
      </x:c>
      <x:c r="C9" s="34" t="str">
        <x:v>check_element_mass_balance</x:v>
      </x:c>
      <x:c r="D9" s="34" t="str">
        <x:v>model_a005</x:v>
      </x:c>
      <x:c r="E9" s="34" t="str">
        <x:v>A005</x:v>
      </x:c>
      <x:c r="F9" s="34" t="str">
        <x:v>保留model_id为稳定主键和当前LLM函数名；保留规划API函数名为semantic_alias；日志同时记录三者，不在本阶段破坏性重命名。</x:v>
      </x:c>
      <x:c r="G9" s="34" t="str">
        <x:v>proposed_not_frozen</x:v>
      </x:c>
      <x:c r="H9" s="34"/>
      <x:c r="I9" s="34"/>
      <x:c r="J9" s="34"/>
    </x:row>
    <x:row r="10">
      <x:c r="A10" s="34" t="str">
        <x:v>B001</x:v>
      </x:c>
      <x:c r="B10" s="34" t="str">
        <x:v>B001</x:v>
      </x:c>
      <x:c r="C10" s="34" t="str">
        <x:v>calc_shomate_properties</x:v>
      </x:c>
      <x:c r="D10" s="34" t="str">
        <x:v>model_b001</x:v>
      </x:c>
      <x:c r="E10" s="34" t="str">
        <x:v>B001</x:v>
      </x:c>
      <x:c r="F10" s="34" t="str">
        <x:v>保留model_id为稳定主键和当前LLM函数名；保留规划API函数名为semantic_alias；日志同时记录三者，不在本阶段破坏性重命名。</x:v>
      </x:c>
      <x:c r="G10" s="34" t="str">
        <x:v>proposed_not_frozen</x:v>
      </x:c>
      <x:c r="H10" s="34"/>
      <x:c r="I10" s="34"/>
      <x:c r="J10" s="34"/>
    </x:row>
    <x:row r="11">
      <x:c r="A11" s="34" t="str">
        <x:v>B002</x:v>
      </x:c>
      <x:c r="B11" s="34" t="str">
        <x:v>B002</x:v>
      </x:c>
      <x:c r="C11" s="34" t="str">
        <x:v>calc_nasa_properties</x:v>
      </x:c>
      <x:c r="D11" s="34" t="str">
        <x:v>model_b002</x:v>
      </x:c>
      <x:c r="E11" s="34" t="str">
        <x:v>B002</x:v>
      </x:c>
      <x:c r="F11" s="34" t="str">
        <x:v>保留model_id为稳定主键和当前LLM函数名；保留规划API函数名为semantic_alias；日志同时记录三者，不在本阶段破坏性重命名。</x:v>
      </x:c>
      <x:c r="G11" s="34" t="str">
        <x:v>proposed_not_frozen</x:v>
      </x:c>
      <x:c r="H11" s="34"/>
      <x:c r="I11" s="34"/>
      <x:c r="J11" s="34"/>
    </x:row>
    <x:row r="12">
      <x:c r="A12" s="34" t="str">
        <x:v>B003</x:v>
      </x:c>
      <x:c r="B12" s="34" t="str">
        <x:v>B003</x:v>
      </x:c>
      <x:c r="C12" s="34" t="str">
        <x:v>integrate_sensible_enthalpy</x:v>
      </x:c>
      <x:c r="D12" s="34" t="str">
        <x:v>model_b003</x:v>
      </x:c>
      <x:c r="E12" s="34" t="str">
        <x:v>B003</x:v>
      </x:c>
      <x:c r="F12" s="34" t="str">
        <x:v>保留model_id为稳定主键和当前LLM函数名；保留规划API函数名为semantic_alias；日志同时记录三者，不在本阶段破坏性重命名。</x:v>
      </x:c>
      <x:c r="G12" s="34" t="str">
        <x:v>proposed_not_frozen</x:v>
      </x:c>
      <x:c r="H12" s="34"/>
      <x:c r="I12" s="34"/>
      <x:c r="J12" s="34"/>
    </x:row>
    <x:row r="13">
      <x:c r="A13" s="34" t="str">
        <x:v>B004</x:v>
      </x:c>
      <x:c r="B13" s="34" t="str">
        <x:v>B004</x:v>
      </x:c>
      <x:c r="C13" s="34" t="str">
        <x:v>integrate_entropy</x:v>
      </x:c>
      <x:c r="D13" s="34" t="str">
        <x:v>model_b004</x:v>
      </x:c>
      <x:c r="E13" s="34" t="str">
        <x:v>B004</x:v>
      </x:c>
      <x:c r="F13" s="34" t="str">
        <x:v>保留model_id为稳定主键和当前LLM函数名；保留规划API函数名为semantic_alias；日志同时记录三者，不在本阶段破坏性重命名。</x:v>
      </x:c>
      <x:c r="G13" s="34" t="str">
        <x:v>proposed_not_frozen</x:v>
      </x:c>
      <x:c r="H13" s="34"/>
      <x:c r="I13" s="34"/>
      <x:c r="J13" s="34"/>
    </x:row>
    <x:row r="14">
      <x:c r="A14" s="34" t="str">
        <x:v>B005</x:v>
      </x:c>
      <x:c r="B14" s="34" t="str">
        <x:v>B005</x:v>
      </x:c>
      <x:c r="C14" s="34" t="str">
        <x:v>calc_gibbs_energy</x:v>
      </x:c>
      <x:c r="D14" s="34" t="str">
        <x:v>model_b005</x:v>
      </x:c>
      <x:c r="E14" s="34" t="str">
        <x:v>B005</x:v>
      </x:c>
      <x:c r="F14" s="34" t="str">
        <x:v>保留model_id为稳定主键和当前LLM函数名；保留规划API函数名为semantic_alias；日志同时记录三者，不在本阶段破坏性重命名。</x:v>
      </x:c>
      <x:c r="G14" s="34" t="str">
        <x:v>proposed_not_frozen</x:v>
      </x:c>
      <x:c r="H14" s="34"/>
      <x:c r="I14" s="34"/>
      <x:c r="J14" s="34"/>
    </x:row>
    <x:row r="15">
      <x:c r="A15" s="34" t="str">
        <x:v>B006</x:v>
      </x:c>
      <x:c r="B15" s="34" t="str">
        <x:v>B006</x:v>
      </x:c>
      <x:c r="C15" s="34" t="str">
        <x:v>calc_reaction_enthalpy</x:v>
      </x:c>
      <x:c r="D15" s="34" t="str">
        <x:v>model_b006</x:v>
      </x:c>
      <x:c r="E15" s="34" t="str">
        <x:v>B006</x:v>
      </x:c>
      <x:c r="F15" s="34" t="str">
        <x:v>保留model_id为稳定主键和当前LLM函数名；保留规划API函数名为semantic_alias；日志同时记录三者，不在本阶段破坏性重命名。</x:v>
      </x:c>
      <x:c r="G15" s="34" t="str">
        <x:v>proposed_not_frozen</x:v>
      </x:c>
      <x:c r="H15" s="34"/>
      <x:c r="I15" s="34"/>
      <x:c r="J15" s="34"/>
    </x:row>
    <x:row r="16">
      <x:c r="A16" s="34" t="str">
        <x:v>B007</x:v>
      </x:c>
      <x:c r="B16" s="34" t="str">
        <x:v>B007</x:v>
      </x:c>
      <x:c r="C16" s="34" t="str">
        <x:v>calc_reaction_entropy</x:v>
      </x:c>
      <x:c r="D16" s="34" t="str">
        <x:v>model_b007</x:v>
      </x:c>
      <x:c r="E16" s="34" t="str">
        <x:v>B007</x:v>
      </x:c>
      <x:c r="F16" s="34" t="str">
        <x:v>保留model_id为稳定主键和当前LLM函数名；保留规划API函数名为semantic_alias；日志同时记录三者，不在本阶段破坏性重命名。</x:v>
      </x:c>
      <x:c r="G16" s="34" t="str">
        <x:v>proposed_not_frozen</x:v>
      </x:c>
      <x:c r="H16" s="34"/>
      <x:c r="I16" s="34"/>
      <x:c r="J16" s="34"/>
    </x:row>
    <x:row r="17">
      <x:c r="A17" s="34" t="str">
        <x:v>B008</x:v>
      </x:c>
      <x:c r="B17" s="34" t="str">
        <x:v>B008</x:v>
      </x:c>
      <x:c r="C17" s="34" t="str">
        <x:v>calc_reaction_gibbs</x:v>
      </x:c>
      <x:c r="D17" s="34" t="str">
        <x:v>model_b008</x:v>
      </x:c>
      <x:c r="E17" s="34" t="str">
        <x:v>B008</x:v>
      </x:c>
      <x:c r="F17" s="34" t="str">
        <x:v>保留model_id为稳定主键和当前LLM函数名；保留规划API函数名为semantic_alias；日志同时记录三者，不在本阶段破坏性重命名。</x:v>
      </x:c>
      <x:c r="G17" s="34" t="str">
        <x:v>proposed_not_frozen</x:v>
      </x:c>
      <x:c r="H17" s="34"/>
      <x:c r="I17" s="34"/>
      <x:c r="J17" s="34"/>
    </x:row>
    <x:row r="18">
      <x:c r="A18" s="34" t="str">
        <x:v>B009</x:v>
      </x:c>
      <x:c r="B18" s="34" t="str">
        <x:v>B009</x:v>
      </x:c>
      <x:c r="C18" s="34" t="str">
        <x:v>calc_equilibrium_constant</x:v>
      </x:c>
      <x:c r="D18" s="34" t="str">
        <x:v>model_b009</x:v>
      </x:c>
      <x:c r="E18" s="34" t="str">
        <x:v>B009</x:v>
      </x:c>
      <x:c r="F18" s="34" t="str">
        <x:v>保留model_id为稳定主键和当前LLM函数名；保留规划API函数名为semantic_alias；日志同时记录三者，不在本阶段破坏性重命名。</x:v>
      </x:c>
      <x:c r="G18" s="34" t="str">
        <x:v>proposed_not_frozen</x:v>
      </x:c>
      <x:c r="H18" s="34"/>
      <x:c r="I18" s="34"/>
      <x:c r="J18" s="34"/>
    </x:row>
    <x:row r="19">
      <x:c r="A19" s="34" t="str">
        <x:v>B019</x:v>
      </x:c>
      <x:c r="B19" s="34" t="str">
        <x:v>B019</x:v>
      </x:c>
      <x:c r="C19" s="34" t="str">
        <x:v>calc_lever_rule</x:v>
      </x:c>
      <x:c r="D19" s="34" t="str">
        <x:v>model_b019</x:v>
      </x:c>
      <x:c r="E19" s="34" t="str">
        <x:v>B019</x:v>
      </x:c>
      <x:c r="F19" s="34" t="str">
        <x:v>保留model_id为稳定主键和当前LLM函数名；保留规划API函数名为semantic_alias；日志同时记录三者，不在本阶段破坏性重命名。</x:v>
      </x:c>
      <x:c r="G19" s="34" t="str">
        <x:v>proposed_not_frozen</x:v>
      </x:c>
      <x:c r="H19" s="34"/>
      <x:c r="I19" s="34"/>
      <x:c r="J19" s="34"/>
    </x:row>
    <x:row r="20">
      <x:c r="A20" s="34" t="str">
        <x:v>C001</x:v>
      </x:c>
      <x:c r="B20" s="34" t="str">
        <x:v>C001</x:v>
      </x:c>
      <x:c r="C20" s="34" t="str">
        <x:v>calc_arrhenius_rate</x:v>
      </x:c>
      <x:c r="D20" s="34" t="str">
        <x:v>model_c001</x:v>
      </x:c>
      <x:c r="E20" s="34" t="str">
        <x:v>C001</x:v>
      </x:c>
      <x:c r="F20" s="34" t="str">
        <x:v>保留model_id为稳定主键和当前LLM函数名；保留规划API函数名为semantic_alias；日志同时记录三者，不在本阶段破坏性重命名。</x:v>
      </x:c>
      <x:c r="G20" s="34" t="str">
        <x:v>proposed_not_frozen</x:v>
      </x:c>
      <x:c r="H20" s="34"/>
      <x:c r="I20" s="34"/>
      <x:c r="J20" s="34"/>
    </x:row>
    <x:row r="21">
      <x:c r="A21" s="34" t="str">
        <x:v>C002</x:v>
      </x:c>
      <x:c r="B21" s="34" t="str">
        <x:v>C002</x:v>
      </x:c>
      <x:c r="C21" s="34" t="str">
        <x:v>calc_diffusion_coefficient</x:v>
      </x:c>
      <x:c r="D21" s="34" t="str">
        <x:v>model_c002</x:v>
      </x:c>
      <x:c r="E21" s="34" t="str">
        <x:v>C002</x:v>
      </x:c>
      <x:c r="F21" s="34" t="str">
        <x:v>保留model_id为稳定主键和当前LLM函数名；保留规划API函数名为semantic_alias；日志同时记录三者，不在本阶段破坏性重命名。</x:v>
      </x:c>
      <x:c r="G21" s="34" t="str">
        <x:v>proposed_not_frozen</x:v>
      </x:c>
      <x:c r="H21" s="34"/>
      <x:c r="I21" s="34"/>
      <x:c r="J21" s="34"/>
    </x:row>
  </x:sheetData>
  <x:mergeCells>
    <x:mergeCell ref="A1:J1"/>
    <x:mergeCell ref="A2:J2"/>
  </x:mergeCells>
  <x:dataValidations count="1">
    <x:dataValidation type="list" sqref="H5:H21">
      <x:formula1>"同意映射,修改映射,暂不冻结"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74151c087540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55" hidden="0" customWidth="1"/>
    <x:col min="4" max="4" width="43" hidden="0" customWidth="1"/>
    <x:col min="5" max="5" width="65" hidden="0" customWidth="1"/>
    <x:col min="6" max="6" width="16" hidden="0" customWidth="1"/>
    <x:col min="7" max="7" width="20" hidden="0" customWidth="1"/>
  </x:cols>
  <x:sheetData>
    <x:row r="1">
      <x:c r="A1" s="21" t="str">
        <x:v>model_id</x:v>
      </x:c>
      <x:c r="B1" s="21" t="str">
        <x:v>diagnostic</x:v>
      </x:c>
      <x:c r="C1" s="21" t="str">
        <x:v>observed_summary</x:v>
      </x:c>
      <x:c r="D1" s="21" t="str">
        <x:v>finding_code</x:v>
      </x:c>
      <x:c r="E1" s="21" t="str">
        <x:v>reference_urls</x:v>
      </x:c>
      <x:c r="F1" s="21" t="str">
        <x:v>golden_case_count</x:v>
      </x:c>
      <x:c r="G1" s="21" t="str">
        <x:v>invalid_input_case_count</x:v>
      </x:c>
    </x:row>
    <x:row r="2">
      <x:c r="A2" s="34" t="str">
        <x:v>A001</x:v>
      </x:c>
      <x:c r="B2" s="34" t="str">
        <x:v>跨量纲换算应拒绝</x:v>
      </x:c>
      <x:c r="C2" s="34" t="str">
        <x:v>1 kg→m: success=true; value=1; boundary_passed=false</x:v>
      </x:c>
      <x:c r="D2" s="34" t="str">
        <x:v>defect_if_success</x:v>
      </x:c>
      <x:c r="E2" s="34" t="str"/>
      <x:c r="F2" s="34" t="n">
        <x:v>12</x:v>
      </x:c>
      <x:c r="G2" s="34" t="n">
        <x:v>15</x:v>
      </x:c>
    </x:row>
    <x:row r="3">
      <x:c r="A3" s="34" t="str">
        <x:v>A002</x:v>
      </x:c>
      <x:c r="B3" s="34" t="str">
        <x:v>尾随非法字符应拒绝</x:v>
      </x:c>
      <x:c r="C3" s="34" t="str">
        <x:v>非物理/非法输入仍返回 success=true; error_code=null</x:v>
      </x:c>
      <x:c r="D3" s="34" t="str">
        <x:v>defect_if_success</x:v>
      </x:c>
      <x:c r="E3" s="34" t="str"/>
      <x:c r="F3" s="34" t="n">
        <x:v>10</x:v>
      </x:c>
      <x:c r="G3" s="34" t="n">
        <x:v>5</x:v>
      </x:c>
    </x:row>
    <x:row r="4">
      <x:c r="A4" s="34" t="str">
        <x:v>A003</x:v>
      </x:c>
      <x:c r="B4" s="34" t="str">
        <x:v>摩尔质量计算不应忽略非法尾随字符</x:v>
      </x:c>
      <x:c r="C4" s="34" t="str">
        <x:v>非物理/非法输入仍返回 success=true; error_code=null</x:v>
      </x:c>
      <x:c r="D4" s="34" t="str">
        <x:v>defect_if_success</x:v>
      </x:c>
      <x:c r="E4" s="34" t="str">
        <x:v>https://www.ciaaw.org/atomic-weights.htm</x:v>
      </x:c>
      <x:c r="F4" s="34" t="n">
        <x:v>10</x:v>
      </x:c>
      <x:c r="G4" s="34" t="n">
        <x:v>5</x:v>
      </x:c>
    </x:row>
    <x:row r="5">
      <x:c r="A5" s="34" t="str">
        <x:v>A004</x:v>
      </x:c>
      <x:c r="B5" s="34" t="str">
        <x:v>负组分应拒绝</x:v>
      </x:c>
      <x:c r="C5" s="34" t="str">
        <x:v>非物理/非法输入仍返回 success=true; error_code=null</x:v>
      </x:c>
      <x:c r="D5" s="34" t="str">
        <x:v>defect_if_success</x:v>
      </x:c>
      <x:c r="E5" s="34" t="str"/>
      <x:c r="F5" s="34" t="n">
        <x:v>8</x:v>
      </x:c>
      <x:c r="G5" s="34" t="n">
        <x:v>5</x:v>
      </x:c>
    </x:row>
    <x:row r="6">
      <x:c r="A6" s="34" t="str">
        <x:v>A005</x:v>
      </x:c>
      <x:c r="B6" s="34" t="str">
        <x:v>负质量物流应拒绝</x:v>
      </x:c>
      <x:c r="C6" s="34" t="str">
        <x:v>非物理/非法输入仍返回 success=true; error_code=null</x:v>
      </x:c>
      <x:c r="D6" s="34" t="str">
        <x:v>defect_if_success</x:v>
      </x:c>
      <x:c r="E6" s="34" t="str"/>
      <x:c r="F6" s="34" t="n">
        <x:v>6</x:v>
      </x:c>
      <x:c r="G6" s="34" t="n">
        <x:v>10</x:v>
      </x:c>
    </x:row>
    <x:row r="7">
      <x:c r="A7" s="34" t="str">
        <x:v>B001</x:v>
      </x:c>
      <x:c r="B7" s="34" t="str">
        <x:v>超出Shomate有效温区应拒绝</x:v>
      </x:c>
      <x:c r="C7" s="34" t="str">
        <x:v>边界诊断返回 success=false; error_code=MISSING_DATA</x:v>
      </x:c>
      <x:c r="D7" s="34" t="str">
        <x:v>pass_if_rejected</x:v>
      </x:c>
      <x:c r="E7" s="34" t="str">
        <x:v>https://webbook.nist.gov/cgi/cbook.cgi?ID=C7732185&amp;Mask=35</x:v>
      </x:c>
      <x:c r="F7" s="34" t="n">
        <x:v>8</x:v>
      </x:c>
      <x:c r="G7" s="34" t="n">
        <x:v>10</x:v>
      </x:c>
    </x:row>
    <x:row r="8">
      <x:c r="A8" s="34" t="str">
        <x:v>B002</x:v>
      </x:c>
      <x:c r="B8" s="34" t="str">
        <x:v>NASA工具是否实际使用NASA系数</x:v>
      </x:c>
      <x:c r="C8" s="34" t="str">
        <x:v>method=Shomate 多项式（NASA 近似）; success=true</x:v>
      </x:c>
      <x:c r="D8" s="34" t="str">
        <x:v>defect_if_method_contains_shomate</x:v>
      </x:c>
      <x:c r="E8" s="34" t="str">
        <x:v>https://ntrs.nasa.gov/citations/20020085330
https://webbook.nist.gov/cgi/cbook.cgi?ID=C7732185&amp;Mask=35</x:v>
      </x:c>
      <x:c r="F8" s="34" t="n">
        <x:v>6</x:v>
      </x:c>
      <x:c r="G8" s="34" t="n">
        <x:v>10</x:v>
      </x:c>
    </x:row>
    <x:row r="9">
      <x:c r="A9" s="34" t="str">
        <x:v>B003</x:v>
      </x:c>
      <x:c r="B9" s="34" t="str">
        <x:v>mass(g)缩放是否具有物质的量换算</x:v>
      </x:c>
      <x:c r="C9" s="34" t="str">
        <x:v>1g结果=18.7941; 2g结果=37.5882; 比值=2</x:v>
      </x:c>
      <x:c r="D9" s="34" t="str">
        <x:v>dimension_defect_if_ratio_is_2_without_molar_mass</x:v>
      </x:c>
      <x:c r="E9" s="34" t="str">
        <x:v>https://webbook.nist.gov/cgi/cbook.cgi?ID=C7732185&amp;Mask=35</x:v>
      </x:c>
      <x:c r="F9" s="34" t="n">
        <x:v>8</x:v>
      </x:c>
      <x:c r="G9" s="34" t="n">
        <x:v>15</x:v>
      </x:c>
    </x:row>
    <x:row r="10">
      <x:c r="A10" s="34" t="str">
        <x:v>B004</x:v>
      </x:c>
      <x:c r="B10" s="34" t="str">
        <x:v>起始温度不小于终止温度应拒绝</x:v>
      </x:c>
      <x:c r="C10" s="34" t="str">
        <x:v>边界诊断返回 success=false; error_code=INVALID_INPUT</x:v>
      </x:c>
      <x:c r="D10" s="34" t="str">
        <x:v>pass_if_rejected</x:v>
      </x:c>
      <x:c r="E10" s="34" t="str">
        <x:v>https://webbook.nist.gov/cgi/cbook.cgi?ID=C7732185&amp;Mask=35</x:v>
      </x:c>
      <x:c r="F10" s="34" t="n">
        <x:v>6</x:v>
      </x:c>
      <x:c r="G10" s="34" t="n">
        <x:v>15</x:v>
      </x:c>
    </x:row>
    <x:row r="11">
      <x:c r="A11" s="34" t="str">
        <x:v>B005</x:v>
      </x:c>
      <x:c r="B11" s="34" t="str">
        <x:v>结果是否包含一致的标准参考焓</x:v>
      </x:c>
      <x:c r="C11" s="34" t="str">
        <x:v>298.15K: G=-2.1052 kJ/mol, H=5.9777, S=27.1101</x:v>
      </x:c>
      <x:c r="D11" s="34" t="str">
        <x:v>reference_state_review_required</x:v>
      </x:c>
      <x:c r="E11" s="34" t="str">
        <x:v>https://webbook.nist.gov/cgi/cbook.cgi?ID=C7732185&amp;Mask=35
https://goldbook.iupac.org/terms/view/G02629</x:v>
      </x:c>
      <x:c r="F11" s="34" t="n">
        <x:v>6</x:v>
      </x:c>
      <x:c r="G11" s="34" t="n">
        <x:v>10</x:v>
      </x:c>
    </x:row>
    <x:row r="12">
      <x:c r="A12" s="34" t="str">
        <x:v>B006</x:v>
      </x:c>
      <x:c r="B12" s="34" t="str">
        <x:v>内置兜底ΔH是否随温度修正</x:v>
      </x:c>
      <x:c r="C12" s="34" t="str">
        <x:v>ΔH(298K)=-393.5; ΔH(1200K)=-393.5</x:v>
      </x:c>
      <x:c r="D12" s="34" t="str">
        <x:v>defect_if_delta_H_identical</x:v>
      </x:c>
      <x:c r="E12" s="34" t="str">
        <x:v>https://webbook.nist.gov/cgi/cbook.cgi?ID=C7732185&amp;Mask=35</x:v>
      </x:c>
      <x:c r="F12" s="34" t="n">
        <x:v>6</x:v>
      </x:c>
      <x:c r="G12" s="34" t="n">
        <x:v>5</x:v>
      </x:c>
    </x:row>
    <x:row r="13">
      <x:c r="A13" s="34" t="str">
        <x:v>B007</x:v>
      </x:c>
      <x:c r="B13" s="34" t="str">
        <x:v>内置兜底ΔS是否随温度修正</x:v>
      </x:c>
      <x:c r="C13" s="34" t="str">
        <x:v>ΔS(298K)=2.9; ΔS(1200K)=2.9</x:v>
      </x:c>
      <x:c r="D13" s="34" t="str">
        <x:v>defect_if_delta_S_identical</x:v>
      </x:c>
      <x:c r="E13" s="34" t="str">
        <x:v>https://webbook.nist.gov/cgi/cbook.cgi?ID=C7732185&amp;Mask=35</x:v>
      </x:c>
      <x:c r="F13" s="34" t="n">
        <x:v>6</x:v>
      </x:c>
      <x:c r="G13" s="34" t="n">
        <x:v>5</x:v>
      </x:c>
    </x:row>
    <x:row r="14">
      <x:c r="A14" s="34" t="str">
        <x:v>B008</x:v>
      </x:c>
      <x:c r="B14" s="34" t="str">
        <x:v>pressure输入是否实际参与计算</x:v>
      </x:c>
      <x:c r="C14" s="34" t="str">
        <x:v>低压ΔG=-396.4; 高压ΔG=-396.4</x:v>
      </x:c>
      <x:c r="D14" s="34" t="str">
        <x:v>defect_if_outputs_identical</x:v>
      </x:c>
      <x:c r="E14" s="34" t="str">
        <x:v>https://goldbook.iupac.org/terms/view/G02629
https://goldbook.iupac.org/terms/view/S05915</x:v>
      </x:c>
      <x:c r="F14" s="34" t="n">
        <x:v>8</x:v>
      </x:c>
      <x:c r="G14" s="34" t="n">
        <x:v>5</x:v>
      </x:c>
    </x:row>
    <x:row r="15">
      <x:c r="A15" s="34" t="str">
        <x:v>B009</x:v>
      </x:c>
      <x:c r="B15" s="34" t="str">
        <x:v>T=0应由前置边界校验拒绝</x:v>
      </x:c>
      <x:c r="C15" s="34" t="str">
        <x:v>T=0: success=false; error_code=INTERNAL_ERROR</x:v>
      </x:c>
      <x:c r="D15" s="34" t="str">
        <x:v>defect_if_internal_error</x:v>
      </x:c>
      <x:c r="E15" s="34" t="str">
        <x:v>https://goldbook.iupac.org/terms/view/S05915</x:v>
      </x:c>
      <x:c r="F15" s="34" t="n">
        <x:v>8</x:v>
      </x:c>
      <x:c r="G15" s="34" t="n">
        <x:v>5</x:v>
      </x:c>
    </x:row>
    <x:row r="16">
      <x:c r="A16" s="34" t="str">
        <x:v>B019</x:v>
      </x:c>
      <x:c r="B16" s="34" t="str">
        <x:v>总体成分超出两相端点应拒绝</x:v>
      </x:c>
      <x:c r="C16" s="34" t="str">
        <x:v>边界诊断返回 success=false; error_code=OUT_OF_DOMAIN</x:v>
      </x:c>
      <x:c r="D16" s="34" t="str">
        <x:v>pass_if_rejected</x:v>
      </x:c>
      <x:c r="E16" s="34" t="str"/>
      <x:c r="F16" s="34" t="n">
        <x:v>10</x:v>
      </x:c>
      <x:c r="G16" s="34" t="n">
        <x:v>15</x:v>
      </x:c>
    </x:row>
    <x:row r="17">
      <x:c r="A17" s="34" t="str">
        <x:v>C001</x:v>
      </x:c>
      <x:c r="B17" s="34" t="str">
        <x:v>负指前因子A应拒绝</x:v>
      </x:c>
      <x:c r="C17" s="34" t="str">
        <x:v>非物理/非法输入仍返回 success=true; error_code=null</x:v>
      </x:c>
      <x:c r="D17" s="34" t="str">
        <x:v>defect_if_success</x:v>
      </x:c>
      <x:c r="E17" s="34" t="str">
        <x:v>https://goldbook.iupac.org/terms/view/A00446</x:v>
      </x:c>
      <x:c r="F17" s="34" t="n">
        <x:v>10</x:v>
      </x:c>
      <x:c r="G17" s="34" t="n">
        <x:v>15</x:v>
      </x:c>
    </x:row>
    <x:row r="18">
      <x:c r="A18" s="34" t="str">
        <x:v>C002</x:v>
      </x:c>
      <x:c r="B18" s="34" t="str">
        <x:v>1 eV激活能是否按每摩尔能量处理</x:v>
      </x:c>
      <x:c r="C18" s="34" t="str">
        <x:v>1 eV时 observed D/D0=1; expected≈0.000009124767654268085</x:v>
      </x:c>
      <x:c r="D18" s="34" t="str">
        <x:v>defect_if_observed_near_1</x:v>
      </x:c>
      <x:c r="E18" s="34" t="str">
        <x:v>https://www.physics.nist.gov/cgi-bin/cuu/Info/Constants/ArchiveASCII/allascii_2010.txt
https://goldbook.iupac.org/terms/view/A00446</x:v>
      </x:c>
      <x:c r="F18" s="34" t="n">
        <x:v>10</x:v>
      </x:c>
      <x:c r="G18" s="34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88a313cf5e454f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0" hidden="0" customWidth="1"/>
    <x:col min="3" max="3" width="48" hidden="0" customWidth="1"/>
    <x:col min="5" max="5" width="24" hidden="0" customWidth="1"/>
    <x:col min="6" max="6" width="60" hidden="0" customWidth="1"/>
  </x:cols>
  <x:sheetData>
    <x:row r="1" ht="34" customHeight="1">
      <x:c r="A1" s="3" t="str">
        <x:v>参考来源与人工确认规则</x:v>
      </x:c>
      <x:c r="B1" s="3" t="str">
        <x:v>参考来源与人工确认规则</x:v>
      </x:c>
      <x:c r="C1" s="3" t="str">
        <x:v>参考来源与人工确认规则</x:v>
      </x:c>
      <x:c r="D1" s="3" t="str">
        <x:v>参考来源与人工确认规则</x:v>
      </x:c>
      <x:c r="E1" s="3" t="str">
        <x:v>参考来源与人工确认规则</x:v>
      </x:c>
      <x:c r="F1" s="3" t="str">
        <x:v>参考来源与人工确认规则</x:v>
      </x:c>
    </x:row>
    <x:row r="2" ht="28" customHeight="1">
      <x:c r="A2" s="6" t="str">
        <x:v>优先采用官方/原始来源；AI预审与人工确认均不自动替代CF-05正式联合审批。</x:v>
      </x:c>
      <x:c r="B2" s="6" t="str">
        <x:v>优先采用官方/原始来源；AI预审与人工确认均不自动替代CF-05正式联合审批。</x:v>
      </x:c>
      <x:c r="C2" s="6" t="str">
        <x:v>优先采用官方/原始来源；AI预审与人工确认均不自动替代CF-05正式联合审批。</x:v>
      </x:c>
      <x:c r="D2" s="6" t="str">
        <x:v>优先采用官方/原始来源；AI预审与人工确认均不自动替代CF-05正式联合审批。</x:v>
      </x:c>
      <x:c r="E2" s="6" t="str">
        <x:v>优先采用官方/原始来源；AI预审与人工确认均不自动替代CF-05正式联合审批。</x:v>
      </x:c>
      <x:c r="F2" s="6" t="str">
        <x:v>优先采用官方/原始来源；AI预审与人工确认均不自动替代CF-05正式联合审批。</x:v>
      </x:c>
    </x:row>
    <x:row r="4">
      <x:c r="A4" s="21" t="str">
        <x:v>reference_key</x:v>
      </x:c>
      <x:c r="B4" s="21" t="str">
        <x:v>URL</x:v>
      </x:c>
      <x:c r="C4" s="21" t="str">
        <x:v>用途</x:v>
      </x:c>
      <x:c r="E4" s="12" t="str">
        <x:v>规则</x:v>
      </x:c>
      <x:c r="F4" s="12" t="str">
        <x:v>说明</x:v>
      </x:c>
    </x:row>
    <x:row r="5">
      <x:c r="A5" s="26" t="str">
        <x:v>nist_shomate</x:v>
      </x:c>
      <x:c r="B5" s="26" t="str">
        <x:v>https://webbook.nist.gov/cgi/cbook.cgi?ID=C7732185&amp;Mask=35</x:v>
      </x:c>
      <x:c r="C5" s="26" t="str">
        <x:v>Shomate Cp、H°−H°298.15、S°公式与单位</x:v>
      </x:c>
      <x:c r="E5" s="26" t="str">
        <x:v>AI预审</x:v>
      </x:c>
      <x:c r="F5" s="26" t="str">
        <x:v>用于发现问题、排序和准备证据；不能写入accepted。</x:v>
      </x:c>
    </x:row>
    <x:row r="6">
      <x:c r="A6" s="27" t="str">
        <x:v>nasa_polynomial</x:v>
      </x:c>
      <x:c r="B6" s="27" t="str">
        <x:v>https://ntrs.nasa.gov/citations/20020085330</x:v>
      </x:c>
      <x:c r="C6" s="27" t="str">
        <x:v>NASA七项/九项热物性系数体系</x:v>
      </x:c>
      <x:c r="E6" s="27" t="str">
        <x:v>同意AI结论</x:v>
      </x:c>
      <x:c r="F6" s="27" t="str">
        <x:v>仅确认预审判断，仍需按required_action修复或补充。</x:v>
      </x:c>
    </x:row>
    <x:row r="7">
      <x:c r="A7" s="27" t="str">
        <x:v>ciaaw_atomic_weights</x:v>
      </x:c>
      <x:c r="B7" s="27" t="str">
        <x:v>https://www.ciaaw.org/atomic-weights.htm</x:v>
      </x:c>
      <x:c r="C7" s="27" t="str">
        <x:v>标准原子量版本</x:v>
      </x:c>
      <x:c r="E7" s="27" t="str">
        <x:v>调整为候选</x:v>
      </x:c>
      <x:c r="F7" s="27" t="str">
        <x:v>人工认为风险可由边界说明解决；需写理由。</x:v>
      </x:c>
    </x:row>
    <x:row r="8">
      <x:c r="A8" s="27" t="str">
        <x:v>iupac_equilibrium</x:v>
      </x:c>
      <x:c r="B8" s="27" t="str">
        <x:v>https://goldbook.iupac.org/terms/view/S05915</x:v>
      </x:c>
      <x:c r="C8" s="27" t="str">
        <x:v>K°=exp(-ΔrG°/RT)</x:v>
      </x:c>
      <x:c r="E8" s="27" t="str">
        <x:v>无法判断需专家</x:v>
      </x:c>
      <x:c r="F8" s="27" t="str">
        <x:v>交给冶金/热力学专业人员，仅复核该工具而非重做全部17项。</x:v>
      </x:c>
    </x:row>
    <x:row r="9">
      <x:c r="A9" s="27" t="str">
        <x:v>iupac_gibbs</x:v>
      </x:c>
      <x:c r="B9" s="27" t="str">
        <x:v>https://goldbook.iupac.org/terms/view/G02629</x:v>
      </x:c>
      <x:c r="C9" s="27" t="str">
        <x:v>G=H-TS及Gibbs能定义</x:v>
      </x:c>
      <x:c r="E9" s="27" t="str">
        <x:v>命名映射</x:v>
      </x:c>
      <x:c r="F9" s="27" t="str">
        <x:v>同意后冻结三种名称的一一映射，不立即重命名运行时代码。</x:v>
      </x:c>
    </x:row>
    <x:row r="10">
      <x:c r="A10" s="27" t="str">
        <x:v>iupac_arrhenius</x:v>
      </x:c>
      <x:c r="B10" s="27" t="str">
        <x:v>https://goldbook.iupac.org/terms/view/A00446</x:v>
      </x:c>
      <x:c r="C10" s="27" t="str">
        <x:v>Arrhenius方程与参数意义</x:v>
      </x:c>
      <x:c r="E10" s="27" t="str">
        <x:v>正式接受</x:v>
      </x:c>
      <x:c r="F10" s="27" t="str">
        <x:v>需修复、重测、专业适用域确认和CF-05审批记录，工作簿不能自行生成。</x:v>
      </x:c>
    </x:row>
    <x:row r="11">
      <x:c r="A11" s="27" t="str">
        <x:v>nist_constants</x:v>
      </x:c>
      <x:c r="B11" s="27" t="str">
        <x:v>https://www.physics.nist.gov/cgi-bin/cuu/Info/Constants/ArchiveASCII/allascii_2010.txt</x:v>
      </x:c>
      <x:c r="C11" s="27" t="str">
        <x:v>eV、Faraday常数和摩尔单位换算</x:v>
      </x:c>
      <x:c r="E11" s="27" t="str">
        <x:v>废弃页面</x:v>
      </x:c>
      <x:c r="F11" s="27" t="str">
        <x:v>不作为工具有效或无效证据，以代码入口、测试和科学审核为准。</x:v>
      </x:c>
    </x:row>
  </x:sheetData>
  <x:mergeCells>
    <x:mergeCell ref="A1:F1"/>
    <x:mergeCell ref="A2:F2"/>
  </x:mergeCells>
  <x:pageMargins left="0.7" right="0.7" top="0.75" bottom="0.75" header="0.3" footer="0.3"/>
</x:worksheet>
</file>