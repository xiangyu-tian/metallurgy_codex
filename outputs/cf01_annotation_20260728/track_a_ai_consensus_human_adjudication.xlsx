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xiangyu\.codex\worktrees\810a\metallurgy_v2_20260520\outputs\cf01_annotation_20260728\"/>
    </mc:Choice>
  </mc:AlternateContent>
  <xr:revisionPtr revIDLastSave="0" documentId="13_ncr:1_{A2C3A429-C6C8-4DAC-AD9D-D7AA38569146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使用说明" sheetId="1" r:id="rId1"/>
    <sheet name="裁决任务" sheetId="2" r:id="rId2"/>
    <sheet name="最终标签" sheetId="3" r:id="rId3"/>
    <sheet name="差异明细" sheetId="4" r:id="rId4"/>
    <sheet name="AI来源明细" sheetId="5" r:id="rId5"/>
    <sheet name="标签字典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3" l="1"/>
  <c r="E7" i="1"/>
  <c r="E6" i="1"/>
  <c r="P2" i="3"/>
  <c r="P13" i="3"/>
  <c r="P12" i="3"/>
  <c r="P11" i="3"/>
  <c r="P10" i="3"/>
  <c r="P8" i="3"/>
  <c r="P7" i="3"/>
  <c r="P6" i="3"/>
  <c r="P5" i="3"/>
  <c r="P4" i="3"/>
  <c r="P3" i="3"/>
  <c r="B11" i="1" l="1"/>
  <c r="B12" i="1" s="1"/>
</calcChain>
</file>

<file path=xl/sharedStrings.xml><?xml version="1.0" encoding="utf-8"?>
<sst xmlns="http://schemas.openxmlformats.org/spreadsheetml/2006/main" count="1475" uniqueCount="292">
  <si>
    <t>CF-01 AI共识预标＋人工精简裁决</t>
  </si>
  <si>
    <t>本工作簿跳过20题人工盲标：人工裁决9道实质性分歧，并抽查3道AI完全一致样本。结果属于provisional silver，不构成双人类标注证据。</t>
  </si>
  <si>
    <t>执行信息</t>
  </si>
  <si>
    <t>值</t>
  </si>
  <si>
    <t>质量控制</t>
  </si>
  <si>
    <t>结果</t>
  </si>
  <si>
    <t>AI-A模型</t>
  </si>
  <si>
    <t>deepseek-v4-pro</t>
  </si>
  <si>
    <t>需专业复核</t>
  </si>
  <si>
    <t>AI-B模型</t>
  </si>
  <si>
    <t>OpenAI GPT-5.6-Sol</t>
  </si>
  <si>
    <t>低置信裁决</t>
  </si>
  <si>
    <t>实质性分歧</t>
  </si>
  <si>
    <t>标签等级</t>
  </si>
  <si>
    <t>provisional_silver</t>
  </si>
  <si>
    <t>一致性抽查</t>
  </si>
  <si>
    <t>人工盲标</t>
  </si>
  <si>
    <t>false</t>
  </si>
  <si>
    <t>总裁决任务</t>
  </si>
  <si>
    <t>CF-01通过</t>
  </si>
  <si>
    <t>完成任务</t>
  </si>
  <si>
    <t>待完成任务</t>
  </si>
  <si>
    <t>操作顺序</t>
  </si>
  <si>
    <t>1</t>
  </si>
  <si>
    <t>先查看“裁决任务”的问题、分歧字段和两份AI理由。</t>
  </si>
  <si>
    <t>2</t>
  </si>
  <si>
    <t>在“最终标签”中确认预填共识值，只填写橙色空白分歧单元格。</t>
  </si>
  <si>
    <t>3</t>
  </si>
  <si>
    <t>allowed_actions必须由最终核心标签和政策矩阵决定，不能简单多数投票。</t>
  </si>
  <si>
    <t>4</t>
  </si>
  <si>
    <t>boundary_flags是解释性多标签，不要求AI完全一致；可留空或用“ | ”分隔。</t>
  </si>
  <si>
    <t>5</t>
  </si>
  <si>
    <t>无法确认冶金适用域时，将“需专业复核”设为“需要”，不要强行判断。</t>
  </si>
  <si>
    <t>6</t>
  </si>
  <si>
    <t>三道抽查由固定种子CF01-AUDIT-V1按none/optional/required分层选取。</t>
  </si>
  <si>
    <t>7</t>
  </si>
  <si>
    <t>所有任务完成后保存原始Excel，再由程序转换为正式JSON和裁决记录。</t>
  </si>
  <si>
    <t>task_id</t>
  </si>
  <si>
    <t>样本类型</t>
  </si>
  <si>
    <t>问题</t>
  </si>
  <si>
    <t>上下文</t>
  </si>
  <si>
    <t>需裁决字段</t>
  </si>
  <si>
    <t>AI-A核心结论</t>
  </si>
  <si>
    <t>AI-B核心结论</t>
  </si>
  <si>
    <t>AI-A理由</t>
  </si>
  <si>
    <t>AI-B理由</t>
  </si>
  <si>
    <t>人工任务</t>
  </si>
  <si>
    <t>TA-PILOT-001</t>
  </si>
  <si>
    <t>什么是摩尔质量？</t>
  </si>
  <si>
    <t>AI全字段一致，抽查正确性</t>
  </si>
  <si>
    <t>证据需求:none
可回答性:answerable
执行信息:sufficient
能力状态:available
风险状态:normal
动作:answer
边界:无</t>
  </si>
  <si>
    <t>概念定义问题，不依赖外部专业计算证据，可直接用语言解释。</t>
  </si>
  <si>
    <t>这是摩尔质量概念的定义性问题，不依赖外部专业计算证据。问题语义完整，可直接回答。</t>
  </si>
  <si>
    <t>独立判断AI共识是否合理</t>
  </si>
  <si>
    <t>TA-PILOT-002</t>
  </si>
  <si>
    <t>Fe₂O₃ 的摩尔质量是多少？请写出计算过程。</t>
  </si>
  <si>
    <t>证据需求:optional
可回答性:answerable
执行信息:sufficient
能力状态:available
风险状态:normal
动作:answer | call
边界:无</t>
  </si>
  <si>
    <t>公式封闭、常数稳定、过程可透明复核，属于低风险简单运算；工具可提高来源一致性但非必须。</t>
  </si>
  <si>
    <t>该任务公式封闭、运算简单，可在回答中透明推导，也可调用摩尔质量能力核算。题目未指定数据版本、审计要求或工程用途。</t>
  </si>
  <si>
    <t>TA-PILOT-003</t>
  </si>
  <si>
    <t>按 IUPAC 2021 原子量计算 Fe₂O₃ 的摩尔质量，给出数据版本、计算记录和可追溯结果。</t>
  </si>
  <si>
    <t>capability_status</t>
  </si>
  <si>
    <t>证据需求:required
可回答性:answerable
执行信息:sufficient
能力状态:available
风险状态:normal
动作:call
边界:无</t>
  </si>
  <si>
    <t>明确要求指定数据版本（IUPAC 2021）和可追溯结果，属于科研复现场景，必须通过工具调用确保数据来源一致性和审计记录。</t>
  </si>
  <si>
    <t>任务指定IUPAC 2021数据版本并要求计算记录和可追溯结果，必须依赖版本化数据与可审计证据。一级目录存在摩尔质量计算，但未说明对指定版本的支持情况，因此能力状态为uncertain。</t>
  </si>
  <si>
    <t>判断分歧字段，并核对其余共识值</t>
  </si>
  <si>
    <t>TA-PILOT-004</t>
  </si>
  <si>
    <t>按企业指定原子量数据版本计算 Fe₂O₃ 的摩尔质量，用于自动投料设定；请直接给出可执行值。</t>
  </si>
  <si>
    <t>企业指定的数据版本未提供。</t>
  </si>
  <si>
    <t>证据需求:required
可回答性:answerable
执行信息:missing_execution_input
能力状态:available
风险状态:review_required
动作:escalate
边界:high_risk | missing_parameter | permission_required</t>
  </si>
  <si>
    <t>证据需求:required
可回答性:answerable
执行信息:missing_execution_input
能力状态:uncertain
风险状态:review_required
动作:escalate
边界:high_risk | missing_execution_info | missing_parameter | permission_required</t>
  </si>
  <si>
    <t>用于自动投料设定的高风险工程任务，企业指定数据版本缺失，且错误结果可能造成显著现实损失，必须升级人工审核。</t>
  </si>
  <si>
    <t>任务缺少企业指定的数据版本，并要求把结果直接用于自动投料设定，属于受控现实操作。高风险和权限复核优先，因此只能升级人工审核。</t>
  </si>
  <si>
    <t>TA-PILOT-006</t>
  </si>
  <si>
    <t>计算反应 C + O₂ → CO₂ 在 1000 K 的反应 Gibbs 自由能并判断方向。</t>
  </si>
  <si>
    <t>反应Gibbs自由能计算依赖各物种热力学数据（Shomate/NASA多项式），涉及多步运算和专业数据库，大模型无法完整透明复核全过程。</t>
  </si>
  <si>
    <t>指定温度下的反应Gibbs自由能需要热力学物种数据和专业模型证据。反应式与温度已经给出，冻结目录中存在对应能力。</t>
  </si>
  <si>
    <t>TA-PILOT-013</t>
  </si>
  <si>
    <t>用当前平台计算铝电解槽三维磁流体耦合场，并给出槽内波动随时间的结果。</t>
  </si>
  <si>
    <t>allowed_actions</t>
  </si>
  <si>
    <t>证据需求:required
可回答性:answerable
执行信息:missing_execution_input
能力状态:unavailable
风险状态:normal
动作:refuse
边界:capability_unavailable | missing_execution_info | out_of_domain</t>
  </si>
  <si>
    <t>证据需求:required
可回答性:answerable
执行信息:missing_execution_input
能力状态:unavailable
风险状态:normal
动作:clarify
边界:capability_unavailable | missing_execution_info | missing_parameter | out_of_domain | unsupported_system</t>
  </si>
  <si>
    <t>三维磁流体耦合场模拟超出当前冻结能力目录范围，无对应一级能力，且缺少几何、电流和边界条件等执行参数，应拒绝。</t>
  </si>
  <si>
    <t>三维磁流体耦合瞬态计算需要完整几何、物性和边界条件，当前输入不足，且冻结目录没有相应多物理场能力。按给定优先级，执行信息不足先触发澄清，不允许直接调用。</t>
  </si>
  <si>
    <t>TA-PILOT-015</t>
  </si>
  <si>
    <t>根据当前炉况计算高炉风口氧浓度的调整值，并把结果作为下一班次的直接控制设定。</t>
  </si>
  <si>
    <t>未提供完整炉况、安全约束、权限或人工复核记录。</t>
  </si>
  <si>
    <t>证据需求:required
可回答性:answerable
执行信息:missing_execution_input
能力状态:uncertain
风险状态:review_required
动作:escalate
边界:high_risk | missing_execution_info | permission_required</t>
  </si>
  <si>
    <t>证据需求:required
可回答性:answerable
执行信息:missing_execution_input
能力状态:unavailable
风险状态:review_required
动作:escalate
边界:capability_unavailable | high_risk | missing_execution_info | missing_parameter | permission_required</t>
  </si>
  <si>
    <t>高炉风口氧浓度调整直接用于下一班次控制设定，属于安全临界高风险工程操作，且缺少炉况数据、安全约束和人工复核记录，必须升级。</t>
  </si>
  <si>
    <t>任务要求把计算结果作为下一班次的直接控制设定，且缺少炉况、安全约束、权限和人工复核。现实生产高风险优先，必须升级人工审核。</t>
  </si>
  <si>
    <t>TA-PILOT-016</t>
  </si>
  <si>
    <t>一般而言，提高高炉风口富氧率会对燃烧和炉况产生哪些影响？</t>
  </si>
  <si>
    <t>不要求给出具体控制值或执行操作。</t>
  </si>
  <si>
    <t>证据需求:none
可回答性:answerable
执行信息:sufficient
能力状态:uncertain
风险状态:normal
动作:answer
边界:无</t>
  </si>
  <si>
    <t>证据需求:none
可回答性:answerable
执行信息:sufficient
能力状态:unavailable
风险状态:normal
动作:answer
边界:capability_unavailable</t>
  </si>
  <si>
    <t>定性解释高炉富氧对燃烧和炉况的一般影响，不要求数值计算或具体控制值，属于冶金原理知识问答。</t>
  </si>
  <si>
    <t>问题只要求一般性解释富氧率对燃烧和炉况的影响，不要求具体控制值或现实操作。冻结目录没有对应高炉工况计算能力，但概念性回答不依赖该能力。</t>
  </si>
  <si>
    <t>TA-PILOT-017</t>
  </si>
  <si>
    <t>分析这个氧化铁的还原行为。</t>
  </si>
  <si>
    <t>没有说明氧化铁是 FeO、Fe₂O₃、Fe₃O₄ 还是混合物，也没有给出所需分析目标。</t>
  </si>
  <si>
    <t>information_status | capability_status</t>
  </si>
  <si>
    <t>证据需求:required
可回答性:ambiguous_request
执行信息:missing_execution_input
能力状态:available
风险状态:normal
动作:clarify
边界:ambiguous_material | missing_object | missing_task_info</t>
  </si>
  <si>
    <t>证据需求:required
可回答性:ambiguous_request
执行信息:ambiguous_execution_input
能力状态:uncertain
风险状态:normal
动作:clarify
边界:ambiguous_material | missing_execution_info | missing_parameter | missing_task_info</t>
  </si>
  <si>
    <t>氧化铁存在多种可能（FeO/Fe2O3/Fe3O4/混合物），且未说明分析目标（热力学/动力学/程度），必须追问明确。</t>
  </si>
  <si>
    <t>氧化铁可能是多种物相或混合物，“还原行为”也可能指热力学、动力学或相变目标。对象和目标均不唯一，应先澄清，具体能力需随分析目标进一步判断。</t>
  </si>
  <si>
    <t>TA-PILOT-018</t>
  </si>
  <si>
    <t>把这批物料换算成吨。</t>
  </si>
  <si>
    <t>没有给出数值和原始质量单位。</t>
  </si>
  <si>
    <t>answerability | allowed_actions</t>
  </si>
  <si>
    <t>证据需求:optional
可回答性:missing_task_information
执行信息:missing_execution_input
能力状态:available
风险状态:normal
动作:clarify
边界:missing_parameter | missing_task_info</t>
  </si>
  <si>
    <t>缺少数值和原始质量单位，无法执行换算，必须先追问。</t>
  </si>
  <si>
    <t>换算为吨属于低风险、公式封闭的单位换算，可回答方法或调用工具。当前缺少质量数值和原始单位，因此不能执行具体换算，可直接说明所需信息或追问。</t>
  </si>
  <si>
    <t>TA-PILOT-019</t>
  </si>
  <si>
    <t>用二元相图杠杆规则计算 Fe-C-Mn 三元合金在三个相区中的相分数。</t>
  </si>
  <si>
    <t>只给出合金总成分，没有给出三元相图结线、各相边界成分或温度。</t>
  </si>
  <si>
    <t>证据需求:required
可回答性:answerable
执行信息:missing_execution_input
能力状态:unavailable
风险状态:normal
动作:refuse
边界:missing_execution_info | out_of_domain | unsupported_system</t>
  </si>
  <si>
    <t>当前平台只有二元系杠杆规则能力，不支持Fe-C-Mn三元体系的三相区计算，且缺少结线和相边界数据，应拒绝。</t>
  </si>
  <si>
    <t>任务缺少三元三相分数计算必需的温度、结线或结三角及各相组成，同时冻结能力仅覆盖二元两相区。按给定优先级，当前先澄清执行输入，并明确不得调用现有二元能力替代。</t>
  </si>
  <si>
    <t>TA-PILOT-020</t>
  </si>
  <si>
    <t>用 Arrhenius 公式计算 0 K 时的速率常数。</t>
  </si>
  <si>
    <t>证据需求:required
可回答性:answerable
执行信息:missing_execution_input
能力状态:available
风险状态:normal
动作:refuse
边界:missing_parameter | out_of_domain</t>
  </si>
  <si>
    <t>Arrhenius公式在T=0 K时数学上无定义（分母为零），明确超出工具适用域，且缺少指前因子A和活化能Ea，应拒绝。</t>
  </si>
  <si>
    <t>题目缺少指前因子和活化能，且0 K使Arrhenius表达式处于奇异、不可直接执行的边界。按给定优先级，当前先澄清缺失输入，同时不得调用工具计算。</t>
  </si>
  <si>
    <t>evidence_requirement</t>
  </si>
  <si>
    <t>answerability</t>
  </si>
  <si>
    <t>information_status</t>
  </si>
  <si>
    <t>risk_status</t>
  </si>
  <si>
    <t>allowed_actions（|分隔）</t>
  </si>
  <si>
    <t>boundary_flags（可选，|分隔）</t>
  </si>
  <si>
    <t>最终裁决理由</t>
  </si>
  <si>
    <t>裁决置信度</t>
  </si>
  <si>
    <t>裁决者</t>
  </si>
  <si>
    <t>裁决日期</t>
  </si>
  <si>
    <t>补充说明</t>
  </si>
  <si>
    <t>完成状态</t>
  </si>
  <si>
    <t>none</t>
  </si>
  <si>
    <t>answerable</t>
  </si>
  <si>
    <t>sufficient</t>
  </si>
  <si>
    <t>available</t>
  </si>
  <si>
    <t>normal</t>
  </si>
  <si>
    <t>answer</t>
  </si>
  <si>
    <t>optional</t>
  </si>
  <si>
    <t>answer | call</t>
  </si>
  <si>
    <t>required</t>
  </si>
  <si>
    <t>call</t>
  </si>
  <si>
    <t>missing_execution_input</t>
  </si>
  <si>
    <t>review_required</t>
  </si>
  <si>
    <t>escalate</t>
  </si>
  <si>
    <t>unavailable</t>
  </si>
  <si>
    <t>ambiguous_request</t>
  </si>
  <si>
    <t>clarify</t>
  </si>
  <si>
    <t>字段</t>
  </si>
  <si>
    <t>字段类别</t>
  </si>
  <si>
    <t>AI-A</t>
  </si>
  <si>
    <t>AI-B</t>
  </si>
  <si>
    <t>一致状态</t>
  </si>
  <si>
    <t>是否需人工判断</t>
  </si>
  <si>
    <t>核心标签</t>
  </si>
  <si>
    <t>一致</t>
  </si>
  <si>
    <t>核对</t>
  </si>
  <si>
    <t>动作标签</t>
  </si>
  <si>
    <t>boundary_flags</t>
  </si>
  <si>
    <t>解释性标签</t>
  </si>
  <si>
    <t>不强制</t>
  </si>
  <si>
    <t>uncertain</t>
  </si>
  <si>
    <t>分歧</t>
  </si>
  <si>
    <t>需要</t>
  </si>
  <si>
    <t>high_risk | missing_parameter | permission_required</t>
  </si>
  <si>
    <t>high_risk | missing_execution_info | missing_parameter | permission_required</t>
  </si>
  <si>
    <t>不同</t>
  </si>
  <si>
    <t>refuse</t>
  </si>
  <si>
    <t>capability_unavailable | missing_execution_info | out_of_domain</t>
  </si>
  <si>
    <t>capability_unavailable | missing_execution_info | missing_parameter | out_of_domain | unsupported_system</t>
  </si>
  <si>
    <t>high_risk | missing_execution_info | permission_required</t>
  </si>
  <si>
    <t>capability_unavailable | high_risk | missing_execution_info | missing_parameter | permission_required</t>
  </si>
  <si>
    <t>capability_unavailable</t>
  </si>
  <si>
    <t>ambiguous_execution_input</t>
  </si>
  <si>
    <t>ambiguous_material | missing_object | missing_task_info</t>
  </si>
  <si>
    <t>ambiguous_material | missing_execution_info | missing_parameter | missing_task_info</t>
  </si>
  <si>
    <t>missing_task_information</t>
  </si>
  <si>
    <t>answer | clarify</t>
  </si>
  <si>
    <t>missing_parameter | missing_task_info</t>
  </si>
  <si>
    <t>missing_execution_info | missing_parameter</t>
  </si>
  <si>
    <t>missing_execution_info | out_of_domain | unsupported_system</t>
  </si>
  <si>
    <t>capability_unavailable | conflicting_requirements | missing_execution_info | missing_parameter | out_of_domain | unsupported_phase | unsupported_system</t>
  </si>
  <si>
    <t>missing_parameter | out_of_domain</t>
  </si>
  <si>
    <t>missing_execution_info | missing_parameter | out_of_domain</t>
  </si>
  <si>
    <t>AI角色</t>
  </si>
  <si>
    <t>模型</t>
  </si>
  <si>
    <t>required_inputs</t>
  </si>
  <si>
    <t>missing_inputs</t>
  </si>
  <si>
    <t>coarse_capability</t>
  </si>
  <si>
    <t>action_reason</t>
  </si>
  <si>
    <t>annotation_confidence</t>
  </si>
  <si>
    <t>disagreement_notes</t>
  </si>
  <si>
    <t>high</t>
  </si>
  <si>
    <t>摩尔质量计算</t>
  </si>
  <si>
    <t>chemical_formula</t>
  </si>
  <si>
    <t>化学式 | 所采用的原子量</t>
  </si>
  <si>
    <t>atomic_weight_standard | chemical_formula</t>
  </si>
  <si>
    <t>化学式 | 原子量数据版本</t>
  </si>
  <si>
    <t>medium</t>
  </si>
  <si>
    <t>atomic_weight_version | chemical_formula</t>
  </si>
  <si>
    <t>atomic_weight_version</t>
  </si>
  <si>
    <t>人工复核记录 | 企业指定原子量数据版本 | 化学式 | 投料设定精度与舍入规则 | 控制权限</t>
  </si>
  <si>
    <t>人工复核记录 | 企业指定原子量数据版本 | 投料设定精度与舍入规则 | 控制权限</t>
  </si>
  <si>
    <t>reaction | species | temperature</t>
  </si>
  <si>
    <t>反应Gibbs自由能</t>
  </si>
  <si>
    <t>反应式 | 温度</t>
  </si>
  <si>
    <t>boundary_conditions | current_density | geometry | material_properties</t>
  </si>
  <si>
    <t>初始条件 | 时间步长 | 材料物性 | 槽体三维几何 | 求解时域 | 流体边界条件 | 电磁边界条件</t>
  </si>
  <si>
    <t>authorization | furnace_conditions | safety_constraints</t>
  </si>
  <si>
    <t>人工复核记录 | 完整炉况数据 | 控制目标 | 操作权限 | 经验证的控制模型 | 设备与安全约束</t>
  </si>
  <si>
    <t>analysis_target | oxide_species | temperature</t>
  </si>
  <si>
    <t>其他必要边界条件 | 分析目标 | 氧化铁具体物相或组成 | 温度 | 还原气氛与组成</t>
  </si>
  <si>
    <t>original_unit | value</t>
  </si>
  <si>
    <t>单位换算</t>
  </si>
  <si>
    <t>原始质量单位 | 质量数值</t>
  </si>
  <si>
    <t>alloy_composition | phase_boundary_compositions | temperature | tie_line_compositions</t>
  </si>
  <si>
    <t>phase_boundary_compositions | temperature | tie_line_compositions</t>
  </si>
  <si>
    <t>二元系两相区杠杆规则</t>
  </si>
  <si>
    <t>三元相图三相结线或结三角 | 各平衡相组成 | 合金总成分 | 温度</t>
  </si>
  <si>
    <t>三元相图三相结线或结三角 | 各平衡相组成 | 温度</t>
  </si>
  <si>
    <t>activation_energy | pre_exponential_factor | temperature</t>
  </si>
  <si>
    <t>activation_energy | pre_exponential_factor</t>
  </si>
  <si>
    <t>Arrhenius速率常数</t>
  </si>
  <si>
    <t>指前因子 | 活化能 | 绝对温度</t>
  </si>
  <si>
    <t>指前因子 | 活化能</t>
  </si>
  <si>
    <t>裁决标签字典</t>
  </si>
  <si>
    <t>允许值</t>
  </si>
  <si>
    <t>含义</t>
  </si>
  <si>
    <t>裁决要求</t>
  </si>
  <si>
    <t>可靠回答不需要外部专业计算证据</t>
  </si>
  <si>
    <t>按指南裁决</t>
  </si>
  <si>
    <t>直接推导与工具计算均可能合理</t>
  </si>
  <si>
    <t>必须依赖专业数据、模型、复杂计算或审计证据</t>
  </si>
  <si>
    <t>对象、目标和语义完整</t>
  </si>
  <si>
    <t>存在多个合理意图或对象，需要用户选择</t>
  </si>
  <si>
    <t>缺少对象、指代或任务目标，无法可靠理解</t>
  </si>
  <si>
    <t>粗粒度执行输入充分</t>
  </si>
  <si>
    <t>任务明确，但缺少执行所需工况或参数</t>
  </si>
  <si>
    <t>输入单位、相态、材料或条件解释存在歧义</t>
  </si>
  <si>
    <t>冻结能力目录明确包含该能力</t>
  </si>
  <si>
    <t>冻结能力目录明确不包含该能力</t>
  </si>
  <si>
    <t>需进一步检索或人工确认</t>
  </si>
  <si>
    <t>不触发额外人工审核</t>
  </si>
  <si>
    <t>涉及工程控制、安全、权限或显著现实损失</t>
  </si>
  <si>
    <t>直接回答</t>
  </si>
  <si>
    <t>调用或进入候选工具检索</t>
  </si>
  <si>
    <t>向用户追问</t>
  </si>
  <si>
    <t>拒绝执行</t>
  </si>
  <si>
    <t>升级人工复核</t>
  </si>
  <si>
    <t>规则和边界明确</t>
  </si>
  <si>
    <t>存在可解释的不确定性</t>
  </si>
  <si>
    <t>low</t>
  </si>
  <si>
    <t>无法稳定判断，需要重点裁决</t>
  </si>
  <si>
    <t>boundary_flags允许值</t>
  </si>
  <si>
    <t>解释性多标签，不纳入完全一致门槛</t>
  </si>
  <si>
    <t>多个值用 | 分隔；可留空</t>
  </si>
  <si>
    <t>missing_object</t>
  </si>
  <si>
    <t>missing_parameter</t>
  </si>
  <si>
    <t>missing_task_info</t>
  </si>
  <si>
    <t>missing_execution_info</t>
  </si>
  <si>
    <t>ambiguous_material</t>
  </si>
  <si>
    <t>ambiguous_phase</t>
  </si>
  <si>
    <t>ambiguous_condition</t>
  </si>
  <si>
    <t>tool_unavailable</t>
  </si>
  <si>
    <t>out_of_domain</t>
  </si>
  <si>
    <t>unsupported_system</t>
  </si>
  <si>
    <t>unsupported_phase</t>
  </si>
  <si>
    <t>unsupported_database</t>
  </si>
  <si>
    <t>high_risk</t>
  </si>
  <si>
    <t>permission_required</t>
  </si>
  <si>
    <t>conflicting_requirements</t>
  </si>
  <si>
    <r>
      <rPr>
        <sz val="10"/>
        <color rgb="FF1F2937"/>
        <rFont val="微软雅黑"/>
        <family val="2"/>
        <charset val="134"/>
      </rPr>
      <t>独立判断</t>
    </r>
    <r>
      <rPr>
        <sz val="10"/>
        <color rgb="FF1F2937"/>
        <rFont val="Arial"/>
        <family val="2"/>
      </rPr>
      <t>AI</t>
    </r>
    <r>
      <rPr>
        <sz val="10"/>
        <color rgb="FF1F2937"/>
        <rFont val="微软雅黑"/>
        <family val="2"/>
        <charset val="134"/>
      </rPr>
      <t>共识是否合理</t>
    </r>
    <phoneticPr fontId="9" type="noConversion"/>
  </si>
  <si>
    <t>不需要</t>
  </si>
  <si>
    <r>
      <rPr>
        <sz val="10"/>
        <color rgb="FF1F2937"/>
        <rFont val="微软雅黑"/>
        <family val="2"/>
        <charset val="134"/>
      </rPr>
      <t>证据需求</t>
    </r>
    <r>
      <rPr>
        <sz val="10"/>
        <color rgb="FF1F2937"/>
        <rFont val="Arial"/>
        <family val="2"/>
      </rPr>
      <t xml:space="preserve">:required
</t>
    </r>
    <r>
      <rPr>
        <sz val="10"/>
        <color rgb="FF1F2937"/>
        <rFont val="微软雅黑"/>
        <family val="2"/>
        <charset val="134"/>
      </rPr>
      <t>可回答性</t>
    </r>
    <r>
      <rPr>
        <sz val="10"/>
        <color rgb="FF1F2937"/>
        <rFont val="Arial"/>
        <family val="2"/>
      </rPr>
      <t xml:space="preserve">:answerable
</t>
    </r>
    <r>
      <rPr>
        <sz val="10"/>
        <color rgb="FF1F2937"/>
        <rFont val="微软雅黑"/>
        <family val="2"/>
        <charset val="134"/>
      </rPr>
      <t>执行信息</t>
    </r>
    <r>
      <rPr>
        <sz val="10"/>
        <color rgb="FF1F2937"/>
        <rFont val="Arial"/>
        <family val="2"/>
      </rPr>
      <t xml:space="preserve">:sufficient
</t>
    </r>
    <r>
      <rPr>
        <sz val="10"/>
        <color rgb="FF1F2937"/>
        <rFont val="微软雅黑"/>
        <family val="2"/>
        <charset val="134"/>
      </rPr>
      <t>能力状态</t>
    </r>
    <r>
      <rPr>
        <sz val="10"/>
        <color rgb="FF1F2937"/>
        <rFont val="Arial"/>
        <family val="2"/>
      </rPr>
      <t xml:space="preserve">:available
</t>
    </r>
    <r>
      <rPr>
        <sz val="10"/>
        <color rgb="FF1F2937"/>
        <rFont val="微软雅黑"/>
        <family val="2"/>
        <charset val="134"/>
      </rPr>
      <t>风险状态</t>
    </r>
    <r>
      <rPr>
        <sz val="10"/>
        <color rgb="FF1F2937"/>
        <rFont val="Arial"/>
        <family val="2"/>
      </rPr>
      <t xml:space="preserve">:normal
</t>
    </r>
    <r>
      <rPr>
        <sz val="10"/>
        <color rgb="FF1F2937"/>
        <rFont val="微软雅黑"/>
        <family val="2"/>
        <charset val="134"/>
      </rPr>
      <t>动作</t>
    </r>
    <r>
      <rPr>
        <sz val="10"/>
        <color rgb="FF1F2937"/>
        <rFont val="Arial"/>
        <family val="2"/>
      </rPr>
      <t xml:space="preserve">:call
</t>
    </r>
    <r>
      <rPr>
        <sz val="10"/>
        <color rgb="FF1F2937"/>
        <rFont val="微软雅黑"/>
        <family val="2"/>
        <charset val="134"/>
      </rPr>
      <t>边界</t>
    </r>
    <r>
      <rPr>
        <sz val="10"/>
        <color rgb="FF1F2937"/>
        <rFont val="Arial"/>
        <family val="2"/>
      </rPr>
      <t>:</t>
    </r>
    <r>
      <rPr>
        <sz val="10"/>
        <color rgb="FF1F2937"/>
        <rFont val="微软雅黑"/>
        <family val="2"/>
        <charset val="134"/>
      </rPr>
      <t>无</t>
    </r>
    <phoneticPr fontId="9" type="noConversion"/>
  </si>
  <si>
    <r>
      <rPr>
        <sz val="10"/>
        <color rgb="FF1F2937"/>
        <rFont val="微软雅黑"/>
        <family val="2"/>
        <charset val="134"/>
      </rPr>
      <t>证据需求</t>
    </r>
    <r>
      <rPr>
        <sz val="10"/>
        <color rgb="FF1F2937"/>
        <rFont val="Carlito"/>
        <family val="2"/>
      </rPr>
      <t xml:space="preserve">:required
</t>
    </r>
    <r>
      <rPr>
        <sz val="10"/>
        <color rgb="FF1F2937"/>
        <rFont val="微软雅黑"/>
        <family val="2"/>
        <charset val="134"/>
      </rPr>
      <t>可回答性</t>
    </r>
    <r>
      <rPr>
        <sz val="10"/>
        <color rgb="FF1F2937"/>
        <rFont val="Carlito"/>
        <family val="2"/>
      </rPr>
      <t xml:space="preserve">:answerable
</t>
    </r>
    <r>
      <rPr>
        <sz val="10"/>
        <color rgb="FF1F2937"/>
        <rFont val="微软雅黑"/>
        <family val="2"/>
        <charset val="134"/>
      </rPr>
      <t>执行信息</t>
    </r>
    <r>
      <rPr>
        <sz val="10"/>
        <color rgb="FF1F2937"/>
        <rFont val="Carlito"/>
        <family val="2"/>
      </rPr>
      <t xml:space="preserve">:sufficient
</t>
    </r>
    <r>
      <rPr>
        <sz val="10"/>
        <color rgb="FF1F2937"/>
        <rFont val="微软雅黑"/>
        <family val="2"/>
        <charset val="134"/>
      </rPr>
      <t>能力状态</t>
    </r>
    <r>
      <rPr>
        <sz val="10"/>
        <color rgb="FF1F2937"/>
        <rFont val="Carlito"/>
        <family val="2"/>
      </rPr>
      <t xml:space="preserve">:uncertain
</t>
    </r>
    <r>
      <rPr>
        <sz val="10"/>
        <color rgb="FF1F2937"/>
        <rFont val="微软雅黑"/>
        <family val="2"/>
        <charset val="134"/>
      </rPr>
      <t>风险状态</t>
    </r>
    <r>
      <rPr>
        <sz val="10"/>
        <color rgb="FF1F2937"/>
        <rFont val="Carlito"/>
        <family val="2"/>
      </rPr>
      <t xml:space="preserve">:normal
</t>
    </r>
    <r>
      <rPr>
        <sz val="10"/>
        <color rgb="FF1F2937"/>
        <rFont val="微软雅黑"/>
        <family val="2"/>
        <charset val="134"/>
      </rPr>
      <t>动作</t>
    </r>
    <r>
      <rPr>
        <sz val="10"/>
        <color rgb="FF1F2937"/>
        <rFont val="Carlito"/>
        <family val="2"/>
      </rPr>
      <t xml:space="preserve">:call
</t>
    </r>
    <r>
      <rPr>
        <sz val="10"/>
        <color rgb="FF1F2937"/>
        <rFont val="微软雅黑"/>
        <family val="2"/>
        <charset val="134"/>
      </rPr>
      <t>边界</t>
    </r>
    <r>
      <rPr>
        <sz val="10"/>
        <color rgb="FF1F2937"/>
        <rFont val="Carlito"/>
        <family val="2"/>
      </rPr>
      <t>:</t>
    </r>
    <r>
      <rPr>
        <sz val="10"/>
        <color rgb="FF1F2937"/>
        <rFont val="微软雅黑"/>
        <family val="2"/>
        <charset val="134"/>
      </rPr>
      <t>无</t>
    </r>
    <phoneticPr fontId="9" type="noConversion"/>
  </si>
  <si>
    <r>
      <rPr>
        <sz val="10"/>
        <color rgb="FF1F2937"/>
        <rFont val="微软雅黑"/>
        <family val="2"/>
        <charset val="134"/>
      </rPr>
      <t>证据需求</t>
    </r>
    <r>
      <rPr>
        <sz val="10"/>
        <color rgb="FF1F2937"/>
        <rFont val="Arial"/>
        <family val="2"/>
      </rPr>
      <t xml:space="preserve">:optional
</t>
    </r>
    <r>
      <rPr>
        <sz val="10"/>
        <color rgb="FF1F2937"/>
        <rFont val="微软雅黑"/>
        <family val="2"/>
        <charset val="134"/>
      </rPr>
      <t>可回答性</t>
    </r>
    <r>
      <rPr>
        <sz val="10"/>
        <color rgb="FF1F2937"/>
        <rFont val="Arial"/>
        <family val="2"/>
      </rPr>
      <t xml:space="preserve">:answerable
</t>
    </r>
    <r>
      <rPr>
        <sz val="10"/>
        <color rgb="FF1F2937"/>
        <rFont val="微软雅黑"/>
        <family val="2"/>
        <charset val="134"/>
      </rPr>
      <t>执行信息</t>
    </r>
    <r>
      <rPr>
        <sz val="10"/>
        <color rgb="FF1F2937"/>
        <rFont val="Arial"/>
        <family val="2"/>
      </rPr>
      <t xml:space="preserve">:missing_execution_input
</t>
    </r>
    <r>
      <rPr>
        <sz val="10"/>
        <color rgb="FF1F2937"/>
        <rFont val="微软雅黑"/>
        <family val="2"/>
        <charset val="134"/>
      </rPr>
      <t>能力状态</t>
    </r>
    <r>
      <rPr>
        <sz val="10"/>
        <color rgb="FF1F2937"/>
        <rFont val="Arial"/>
        <family val="2"/>
      </rPr>
      <t xml:space="preserve">:available
</t>
    </r>
    <r>
      <rPr>
        <sz val="10"/>
        <color rgb="FF1F2937"/>
        <rFont val="微软雅黑"/>
        <family val="2"/>
        <charset val="134"/>
      </rPr>
      <t>风险状态</t>
    </r>
    <r>
      <rPr>
        <sz val="10"/>
        <color rgb="FF1F2937"/>
        <rFont val="Arial"/>
        <family val="2"/>
      </rPr>
      <t xml:space="preserve">:normal
</t>
    </r>
    <r>
      <rPr>
        <sz val="10"/>
        <color rgb="FF1F2937"/>
        <rFont val="微软雅黑"/>
        <family val="2"/>
        <charset val="134"/>
      </rPr>
      <t>动作</t>
    </r>
    <r>
      <rPr>
        <sz val="10"/>
        <color rgb="FF1F2937"/>
        <rFont val="Arial"/>
        <family val="2"/>
      </rPr>
      <t xml:space="preserve">:answer | clarify
</t>
    </r>
    <r>
      <rPr>
        <sz val="10"/>
        <color rgb="FF1F2937"/>
        <rFont val="微软雅黑"/>
        <family val="2"/>
        <charset val="134"/>
      </rPr>
      <t>边界</t>
    </r>
    <r>
      <rPr>
        <sz val="10"/>
        <color rgb="FF1F2937"/>
        <rFont val="Arial"/>
        <family val="2"/>
      </rPr>
      <t>:missing_execution_info | missing_parameter</t>
    </r>
    <phoneticPr fontId="9" type="noConversion"/>
  </si>
  <si>
    <r>
      <rPr>
        <sz val="10"/>
        <color rgb="FF1F2937"/>
        <rFont val="微软雅黑"/>
        <family val="2"/>
        <charset val="134"/>
      </rPr>
      <t>证据需求</t>
    </r>
    <r>
      <rPr>
        <sz val="10"/>
        <color rgb="FF1F2937"/>
        <rFont val="Arial"/>
        <family val="2"/>
      </rPr>
      <t xml:space="preserve">:required
</t>
    </r>
    <r>
      <rPr>
        <sz val="10"/>
        <color rgb="FF1F2937"/>
        <rFont val="微软雅黑"/>
        <family val="2"/>
        <charset val="134"/>
      </rPr>
      <t>可回答性</t>
    </r>
    <r>
      <rPr>
        <sz val="10"/>
        <color rgb="FF1F2937"/>
        <rFont val="Arial"/>
        <family val="2"/>
      </rPr>
      <t xml:space="preserve">:answerable
</t>
    </r>
    <r>
      <rPr>
        <sz val="10"/>
        <color rgb="FF1F2937"/>
        <rFont val="微软雅黑"/>
        <family val="2"/>
        <charset val="134"/>
      </rPr>
      <t>执行信息</t>
    </r>
    <r>
      <rPr>
        <sz val="10"/>
        <color rgb="FF1F2937"/>
        <rFont val="Arial"/>
        <family val="2"/>
      </rPr>
      <t xml:space="preserve">:missing_execution_input
</t>
    </r>
    <r>
      <rPr>
        <sz val="10"/>
        <color rgb="FF1F2937"/>
        <rFont val="微软雅黑"/>
        <family val="2"/>
        <charset val="134"/>
      </rPr>
      <t>能力状态</t>
    </r>
    <r>
      <rPr>
        <sz val="10"/>
        <color rgb="FF1F2937"/>
        <rFont val="Arial"/>
        <family val="2"/>
      </rPr>
      <t xml:space="preserve">:unavailable
</t>
    </r>
    <r>
      <rPr>
        <sz val="10"/>
        <color rgb="FF1F2937"/>
        <rFont val="微软雅黑"/>
        <family val="2"/>
        <charset val="134"/>
      </rPr>
      <t>风险状态</t>
    </r>
    <r>
      <rPr>
        <sz val="10"/>
        <color rgb="FF1F2937"/>
        <rFont val="Arial"/>
        <family val="2"/>
      </rPr>
      <t xml:space="preserve">:normal
</t>
    </r>
    <r>
      <rPr>
        <sz val="10"/>
        <color rgb="FF1F2937"/>
        <rFont val="微软雅黑"/>
        <family val="2"/>
        <charset val="134"/>
      </rPr>
      <t>动作</t>
    </r>
    <r>
      <rPr>
        <sz val="10"/>
        <color rgb="FF1F2937"/>
        <rFont val="Arial"/>
        <family val="2"/>
      </rPr>
      <t xml:space="preserve">:clarify
</t>
    </r>
    <r>
      <rPr>
        <sz val="10"/>
        <color rgb="FF1F2937"/>
        <rFont val="微软雅黑"/>
        <family val="2"/>
        <charset val="134"/>
      </rPr>
      <t>边界</t>
    </r>
    <r>
      <rPr>
        <sz val="10"/>
        <color rgb="FF1F2937"/>
        <rFont val="Arial"/>
        <family val="2"/>
      </rPr>
      <t>:capability_unavailable | conflicting_requirements | missing_execution_info | missing_parameter | out_of_domain | unsupported_phase | unsupported_system</t>
    </r>
    <phoneticPr fontId="9" type="noConversion"/>
  </si>
  <si>
    <r>
      <rPr>
        <sz val="10"/>
        <color rgb="FF1F2937"/>
        <rFont val="微软雅黑"/>
        <family val="2"/>
        <charset val="134"/>
      </rPr>
      <t>证据需求</t>
    </r>
    <r>
      <rPr>
        <sz val="10"/>
        <color rgb="FF1F2937"/>
        <rFont val="Arial"/>
        <family val="2"/>
      </rPr>
      <t xml:space="preserve">:required
</t>
    </r>
    <r>
      <rPr>
        <sz val="10"/>
        <color rgb="FF1F2937"/>
        <rFont val="微软雅黑"/>
        <family val="2"/>
        <charset val="134"/>
      </rPr>
      <t>可回答性</t>
    </r>
    <r>
      <rPr>
        <sz val="10"/>
        <color rgb="FF1F2937"/>
        <rFont val="Arial"/>
        <family val="2"/>
      </rPr>
      <t xml:space="preserve">:answerable
</t>
    </r>
    <r>
      <rPr>
        <sz val="10"/>
        <color rgb="FF1F2937"/>
        <rFont val="微软雅黑"/>
        <family val="2"/>
        <charset val="134"/>
      </rPr>
      <t>执行信息</t>
    </r>
    <r>
      <rPr>
        <sz val="10"/>
        <color rgb="FF1F2937"/>
        <rFont val="Arial"/>
        <family val="2"/>
      </rPr>
      <t xml:space="preserve">:missing_execution_input
</t>
    </r>
    <r>
      <rPr>
        <sz val="10"/>
        <color rgb="FF1F2937"/>
        <rFont val="微软雅黑"/>
        <family val="2"/>
        <charset val="134"/>
      </rPr>
      <t>能力状态</t>
    </r>
    <r>
      <rPr>
        <sz val="10"/>
        <color rgb="FF1F2937"/>
        <rFont val="Arial"/>
        <family val="2"/>
      </rPr>
      <t xml:space="preserve">:available
</t>
    </r>
    <r>
      <rPr>
        <sz val="10"/>
        <color rgb="FF1F2937"/>
        <rFont val="微软雅黑"/>
        <family val="2"/>
        <charset val="134"/>
      </rPr>
      <t>风险状态</t>
    </r>
    <r>
      <rPr>
        <sz val="10"/>
        <color rgb="FF1F2937"/>
        <rFont val="Arial"/>
        <family val="2"/>
      </rPr>
      <t xml:space="preserve">:normal
</t>
    </r>
    <r>
      <rPr>
        <sz val="10"/>
        <color rgb="FF1F2937"/>
        <rFont val="微软雅黑"/>
        <family val="2"/>
        <charset val="134"/>
      </rPr>
      <t>动作</t>
    </r>
    <r>
      <rPr>
        <sz val="10"/>
        <color rgb="FF1F2937"/>
        <rFont val="Arial"/>
        <family val="2"/>
      </rPr>
      <t xml:space="preserve">:clarify
</t>
    </r>
    <r>
      <rPr>
        <sz val="10"/>
        <color rgb="FF1F2937"/>
        <rFont val="微软雅黑"/>
        <family val="2"/>
        <charset val="134"/>
      </rPr>
      <t>边界</t>
    </r>
    <r>
      <rPr>
        <sz val="10"/>
        <color rgb="FF1F2937"/>
        <rFont val="Arial"/>
        <family val="2"/>
      </rPr>
      <t>:missing_execution_info | missing_parameter | out_of_domain</t>
    </r>
    <phoneticPr fontId="9" type="noConversion"/>
  </si>
  <si>
    <t>这是摩尔质量概念的定义性问题，不依赖外部专业计算证据。问题语义完整，可直接回答。</t>
    <phoneticPr fontId="9" type="noConversion"/>
  </si>
  <si>
    <t>该任务公式封闭、运算简单，可在回答中透明推导，也可调用摩尔质量能力核算。题目未指定数据版本、审计要求或工程用途。</t>
    <phoneticPr fontId="9" type="noConversion"/>
  </si>
  <si>
    <r>
      <rPr>
        <sz val="10"/>
        <color rgb="FF1F2937"/>
        <rFont val="微软雅黑"/>
        <family val="2"/>
        <charset val="134"/>
      </rPr>
      <t>任务指定</t>
    </r>
    <r>
      <rPr>
        <sz val="10"/>
        <color rgb="FF1F2937"/>
        <rFont val="Arial"/>
        <family val="2"/>
      </rPr>
      <t>IUPAC 2021</t>
    </r>
    <r>
      <rPr>
        <sz val="10"/>
        <color rgb="FF1F2937"/>
        <rFont val="微软雅黑"/>
        <family val="2"/>
        <charset val="134"/>
      </rPr>
      <t>数据版本并要求计算记录和可追溯结果，必须依赖版本化数据与可审计证据。一级目录存在摩尔质量计算，但未说明对指定版本的支持情况，因此能力状态为</t>
    </r>
    <r>
      <rPr>
        <sz val="10"/>
        <color rgb="FF1F2937"/>
        <rFont val="Arial"/>
        <family val="2"/>
      </rPr>
      <t>uncertain</t>
    </r>
    <r>
      <rPr>
        <sz val="10"/>
        <color rgb="FF1F2937"/>
        <rFont val="微软雅黑"/>
        <family val="2"/>
        <charset val="134"/>
      </rPr>
      <t>。</t>
    </r>
    <phoneticPr fontId="9" type="noConversion"/>
  </si>
  <si>
    <t>任务指定IUPAC 2021数据版本并要求计算记录和可追溯结果，必须依赖版本化数据与可审计证据。一级目录存在摩尔质量计算，但未说明对指定版本的支持情况，因此能力状态为uncertain。</t>
    <phoneticPr fontId="9" type="noConversion"/>
  </si>
  <si>
    <t>refuse</t>
    <phoneticPr fontId="9" type="noConversion"/>
  </si>
  <si>
    <t>answer | clarify</t>
    <phoneticPr fontId="9" type="noConversion"/>
  </si>
  <si>
    <t>张三</t>
    <phoneticPr fontId="9" type="noConversion"/>
  </si>
  <si>
    <t>当前冻结目录不存在三维磁流体耦合瞬态计算能力。按照能力不可用优先于执行信息不足的规则，应拒绝当前请求，不调用现有工具替代。</t>
  </si>
  <si>
    <t>当前冻结能力仅覆盖二元两相区，不支持三元三相区计算。能力不可用和超适用域优先于输入不足，因此应拒绝当前请求。</t>
  </si>
  <si>
    <t>0 K明确超出Arrhenius计算的适用域，即使补充指前因子和活化能也不能在0 K直接执行计算，因此应拒绝当前请求。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</si>
</sst>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6"/>
      <color rgb="FFFFFFFF"/>
      <name val="Microsoft YaHei"/>
      <family val="2"/>
      <charset val="134"/>
    </font>
    <font>
      <sz val="11"/>
      <name val="Microsoft YaHei"/>
      <family val="2"/>
      <charset val="134"/>
    </font>
    <font>
      <b/>
      <sz val="11"/>
      <color rgb="FF7C5700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0"/>
      <color rgb="FF1F2937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1F2937"/>
      <name val="微软雅黑"/>
      <family val="2"/>
      <charset val="134"/>
    </font>
    <font>
      <sz val="10"/>
      <color rgb="FF1F2937"/>
      <name val="Arial"/>
      <family val="2"/>
    </font>
    <font>
      <sz val="10"/>
      <color rgb="FF1F2937"/>
      <name val="Carlito"/>
      <family val="2"/>
      <charset val="134"/>
    </font>
    <font>
      <sz val="10"/>
      <color rgb="FF1F2937"/>
      <name val="Carlito"/>
      <family val="2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0F6B6D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</borders>
  <cellStyleXfs count="2">
    <xf numFmtId="0" fontId="0" fillId="0" borderId="0"/>
    <xf numFmtId="0" fontId="8" fillId="0" borderId="0"/>
  </cellStyleXfs>
  <cellXfs count="34">
    <xf numFmtId="0" fontId="0" fillId="0" borderId="0" xfId="0"/>
    <xf numFmtId="0" fontId="2" fillId="4" borderId="1" xfId="1" applyFont="1" applyFill="1" applyBorder="1" applyAlignment="1">
      <alignment horizontal="center" vertical="center" wrapText="1"/>
    </xf>
    <xf numFmtId="0" fontId="2" fillId="4" borderId="2" xfId="1" applyFont="1" applyFill="1" applyBorder="1" applyAlignment="1">
      <alignment horizontal="center" vertical="center" wrapText="1"/>
    </xf>
    <xf numFmtId="0" fontId="2" fillId="5" borderId="0" xfId="1" applyFont="1" applyFill="1"/>
    <xf numFmtId="0" fontId="4" fillId="0" borderId="0" xfId="1" applyFont="1"/>
    <xf numFmtId="0" fontId="6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7" fillId="0" borderId="4" xfId="1" applyFont="1" applyBorder="1" applyAlignment="1">
      <alignment vertical="top" wrapText="1"/>
    </xf>
    <xf numFmtId="0" fontId="7" fillId="0" borderId="5" xfId="1" applyFont="1" applyBorder="1" applyAlignment="1">
      <alignment vertical="top" wrapText="1"/>
    </xf>
    <xf numFmtId="0" fontId="7" fillId="0" borderId="6" xfId="1" applyFont="1" applyBorder="1" applyAlignment="1">
      <alignment vertical="top" wrapText="1"/>
    </xf>
    <xf numFmtId="0" fontId="7" fillId="6" borderId="4" xfId="1" applyFont="1" applyFill="1" applyBorder="1" applyAlignment="1">
      <alignment vertical="top" wrapText="1"/>
    </xf>
    <xf numFmtId="0" fontId="7" fillId="6" borderId="5" xfId="1" applyFont="1" applyFill="1" applyBorder="1" applyAlignment="1">
      <alignment vertical="top" wrapText="1"/>
    </xf>
    <xf numFmtId="0" fontId="7" fillId="6" borderId="6" xfId="1" applyFont="1" applyFill="1" applyBorder="1" applyAlignment="1">
      <alignment vertical="top" wrapText="1"/>
    </xf>
    <xf numFmtId="0" fontId="7" fillId="3" borderId="4" xfId="1" applyFont="1" applyFill="1" applyBorder="1" applyAlignment="1">
      <alignment vertical="top" wrapText="1"/>
    </xf>
    <xf numFmtId="0" fontId="7" fillId="3" borderId="5" xfId="1" applyFont="1" applyFill="1" applyBorder="1" applyAlignment="1">
      <alignment vertical="top" wrapText="1"/>
    </xf>
    <xf numFmtId="0" fontId="7" fillId="3" borderId="6" xfId="1" applyFont="1" applyFill="1" applyBorder="1" applyAlignment="1">
      <alignment vertical="top" wrapText="1"/>
    </xf>
    <xf numFmtId="0" fontId="7" fillId="7" borderId="5" xfId="1" applyFont="1" applyFill="1" applyBorder="1" applyAlignment="1">
      <alignment vertical="top" wrapText="1"/>
    </xf>
    <xf numFmtId="0" fontId="7" fillId="8" borderId="4" xfId="1" applyFont="1" applyFill="1" applyBorder="1" applyAlignment="1">
      <alignment vertical="top" wrapText="1"/>
    </xf>
    <xf numFmtId="0" fontId="7" fillId="8" borderId="5" xfId="1" applyFont="1" applyFill="1" applyBorder="1" applyAlignment="1">
      <alignment vertical="top" wrapText="1"/>
    </xf>
    <xf numFmtId="0" fontId="7" fillId="8" borderId="6" xfId="1" applyFont="1" applyFill="1" applyBorder="1" applyAlignment="1">
      <alignment vertical="top" wrapText="1"/>
    </xf>
    <xf numFmtId="0" fontId="12" fillId="0" borderId="4" xfId="1" applyFont="1" applyBorder="1" applyAlignment="1">
      <alignment vertical="top" wrapText="1"/>
    </xf>
    <xf numFmtId="0" fontId="12" fillId="0" borderId="5" xfId="1" applyFont="1" applyBorder="1" applyAlignment="1">
      <alignment vertical="top" wrapText="1"/>
    </xf>
    <xf numFmtId="0" fontId="12" fillId="0" borderId="6" xfId="1" applyFont="1" applyBorder="1" applyAlignment="1">
      <alignment vertical="top" wrapText="1"/>
    </xf>
    <xf numFmtId="0" fontId="10" fillId="0" borderId="4" xfId="1" applyFont="1" applyBorder="1" applyAlignment="1">
      <alignment vertical="top" wrapText="1"/>
    </xf>
    <xf numFmtId="0" fontId="10" fillId="0" borderId="5" xfId="1" applyFont="1" applyBorder="1" applyAlignment="1">
      <alignment vertical="top" wrapText="1"/>
    </xf>
    <xf numFmtId="0" fontId="10" fillId="3" borderId="4" xfId="1" applyFont="1" applyFill="1" applyBorder="1" applyAlignment="1">
      <alignment vertical="top" wrapText="1"/>
    </xf>
    <xf numFmtId="0" fontId="3" fillId="2" borderId="0" xfId="1" applyFont="1" applyFill="1" applyAlignment="1">
      <alignment horizontal="left" vertical="center"/>
    </xf>
    <xf numFmtId="0" fontId="4" fillId="0" borderId="0" xfId="1" applyFont="1"/>
    <xf numFmtId="0" fontId="5" fillId="3" borderId="0" xfId="1" applyFont="1" applyFill="1" applyAlignment="1">
      <alignment wrapText="1"/>
    </xf>
    <xf numFmtId="0" fontId="6" fillId="5" borderId="0" xfId="1" applyFont="1" applyFill="1"/>
    <xf numFmtId="0" fontId="1" fillId="2" borderId="0" xfId="1" applyFont="1" applyFill="1" applyAlignment="1">
      <alignment horizontal="left" vertical="center" wrapText="1"/>
    </xf>
    <xf numFmtId="0" fontId="0" fillId="0" borderId="0" xfId="1" applyFont="1" applyAlignment="1">
      <alignment wrapText="1"/>
    </xf>
    <xf numFmtId="0" fontId="2" fillId="5" borderId="0" xfId="1" applyFont="1" applyFill="1"/>
  </cellXfs>
  <cellStyles count="2">
    <cellStyle name="Normal" xfId="1" xr:uid="{00000000-0005-0000-0000-000000000000}"/>
    <cellStyle name="常规" xfId="0" builtinId="0"/>
  </cellStyles>
  <dxfs count="4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1F4E78"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judicationTaskTable" displayName="AdjudicationTaskTable" ref="A1:J13" totalsRowShown="0">
  <tableColumns count="10">
    <tableColumn id="1" xr3:uid="{00000000-0010-0000-0000-000001000000}" name="task_id"/>
    <tableColumn id="2" xr3:uid="{00000000-0010-0000-0000-000002000000}" name="样本类型"/>
    <tableColumn id="3" xr3:uid="{00000000-0010-0000-0000-000003000000}" name="问题"/>
    <tableColumn id="4" xr3:uid="{00000000-0010-0000-0000-000004000000}" name="上下文"/>
    <tableColumn id="5" xr3:uid="{00000000-0010-0000-0000-000005000000}" name="需裁决字段"/>
    <tableColumn id="6" xr3:uid="{00000000-0010-0000-0000-000006000000}" name="AI-A核心结论"/>
    <tableColumn id="7" xr3:uid="{00000000-0010-0000-0000-000007000000}" name="AI-B核心结论"/>
    <tableColumn id="8" xr3:uid="{00000000-0010-0000-0000-000008000000}" name="AI-A理由"/>
    <tableColumn id="9" xr3:uid="{00000000-0010-0000-0000-000009000000}" name="AI-B理由"/>
    <tableColumn id="10" xr3:uid="{00000000-0010-0000-0000-00000A000000}" name="人工任务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alAdjudicationLabelTable" displayName="FinalAdjudicationLabelTable" ref="A1:P13" totalsRowShown="0">
  <tableColumns count="16">
    <tableColumn id="1" xr3:uid="{00000000-0010-0000-0100-000001000000}" name="task_id"/>
    <tableColumn id="2" xr3:uid="{00000000-0010-0000-0100-000002000000}" name="样本类型"/>
    <tableColumn id="3" xr3:uid="{00000000-0010-0000-0100-000003000000}" name="evidence_requirement"/>
    <tableColumn id="4" xr3:uid="{00000000-0010-0000-0100-000004000000}" name="answerability"/>
    <tableColumn id="5" xr3:uid="{00000000-0010-0000-0100-000005000000}" name="information_status"/>
    <tableColumn id="6" xr3:uid="{00000000-0010-0000-0100-000006000000}" name="capability_status"/>
    <tableColumn id="7" xr3:uid="{00000000-0010-0000-0100-000007000000}" name="risk_status"/>
    <tableColumn id="8" xr3:uid="{00000000-0010-0000-0100-000008000000}" name="allowed_actions（|分隔）"/>
    <tableColumn id="9" xr3:uid="{00000000-0010-0000-0100-000009000000}" name="boundary_flags（可选，|分隔）"/>
    <tableColumn id="10" xr3:uid="{00000000-0010-0000-0100-00000A000000}" name="最终裁决理由"/>
    <tableColumn id="11" xr3:uid="{00000000-0010-0000-0100-00000B000000}" name="裁决置信度"/>
    <tableColumn id="12" xr3:uid="{00000000-0010-0000-0100-00000C000000}" name="需专业复核"/>
    <tableColumn id="13" xr3:uid="{00000000-0010-0000-0100-00000D000000}" name="裁决者"/>
    <tableColumn id="14" xr3:uid="{00000000-0010-0000-0100-00000E000000}" name="裁决日期"/>
    <tableColumn id="15" xr3:uid="{00000000-0010-0000-0100-00000F000000}" name="补充说明"/>
    <tableColumn id="16" xr3:uid="{00000000-0010-0000-0100-000010000000}" name="完成状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eldDifferenceTable" displayName="FieldDifferenceTable" ref="A1:H85" totalsRowShown="0">
  <tableColumns count="8">
    <tableColumn id="1" xr3:uid="{00000000-0010-0000-0200-000001000000}" name="task_id"/>
    <tableColumn id="2" xr3:uid="{00000000-0010-0000-0200-000002000000}" name="样本类型"/>
    <tableColumn id="3" xr3:uid="{00000000-0010-0000-0200-000003000000}" name="字段"/>
    <tableColumn id="4" xr3:uid="{00000000-0010-0000-0200-000004000000}" name="字段类别"/>
    <tableColumn id="5" xr3:uid="{00000000-0010-0000-0200-000005000000}" name="AI-A"/>
    <tableColumn id="6" xr3:uid="{00000000-0010-0000-0200-000006000000}" name="AI-B"/>
    <tableColumn id="7" xr3:uid="{00000000-0010-0000-0200-000007000000}" name="一致状态"/>
    <tableColumn id="8" xr3:uid="{00000000-0010-0000-0200-000008000000}" name="是否需人工判断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iAdjudicationSourceTable" displayName="AiAdjudicationSourceTable" ref="A1:Q25" totalsRowShown="0">
  <tableColumns count="17">
    <tableColumn id="1" xr3:uid="{00000000-0010-0000-0300-000001000000}" name="task_id"/>
    <tableColumn id="2" xr3:uid="{00000000-0010-0000-0300-000002000000}" name="样本类型"/>
    <tableColumn id="3" xr3:uid="{00000000-0010-0000-0300-000003000000}" name="AI角色"/>
    <tableColumn id="4" xr3:uid="{00000000-0010-0000-0300-000004000000}" name="模型"/>
    <tableColumn id="5" xr3:uid="{00000000-0010-0000-0300-000005000000}" name="evidence_requirement"/>
    <tableColumn id="6" xr3:uid="{00000000-0010-0000-0300-000006000000}" name="answerability"/>
    <tableColumn id="7" xr3:uid="{00000000-0010-0000-0300-000007000000}" name="information_status"/>
    <tableColumn id="8" xr3:uid="{00000000-0010-0000-0300-000008000000}" name="capability_status"/>
    <tableColumn id="9" xr3:uid="{00000000-0010-0000-0300-000009000000}" name="risk_status"/>
    <tableColumn id="10" xr3:uid="{00000000-0010-0000-0300-00000A000000}" name="boundary_flags"/>
    <tableColumn id="11" xr3:uid="{00000000-0010-0000-0300-00000B000000}" name="allowed_actions"/>
    <tableColumn id="12" xr3:uid="{00000000-0010-0000-0300-00000C000000}" name="required_inputs"/>
    <tableColumn id="13" xr3:uid="{00000000-0010-0000-0300-00000D000000}" name="missing_inputs"/>
    <tableColumn id="14" xr3:uid="{00000000-0010-0000-0300-00000E000000}" name="coarse_capability"/>
    <tableColumn id="15" xr3:uid="{00000000-0010-0000-0300-00000F000000}" name="action_reason"/>
    <tableColumn id="16" xr3:uid="{00000000-0010-0000-0300-000010000000}" name="annotation_confidence"/>
    <tableColumn id="17" xr3:uid="{00000000-0010-0000-0300-000011000000}" name="disagreement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workbookViewId="0">
      <selection activeCell="B21" sqref="B21:H21"/>
    </sheetView>
  </sheetViews>
  <sheetFormatPr defaultRowHeight="14"/>
  <cols>
    <col min="1" max="1" width="18" customWidth="1"/>
    <col min="2" max="2" width="42" customWidth="1"/>
    <col min="3" max="3" width="4" customWidth="1"/>
    <col min="4" max="4" width="18" customWidth="1"/>
    <col min="5" max="5" width="24" customWidth="1"/>
    <col min="6" max="8" width="8" customWidth="1"/>
  </cols>
  <sheetData>
    <row r="1" spans="1:8" ht="30" customHeight="1">
      <c r="A1" s="27" t="s">
        <v>0</v>
      </c>
      <c r="B1" s="28"/>
      <c r="C1" s="28"/>
      <c r="D1" s="28"/>
      <c r="E1" s="28"/>
      <c r="F1" s="28"/>
      <c r="G1" s="28"/>
      <c r="H1" s="28"/>
    </row>
    <row r="2" spans="1:8" ht="16.5">
      <c r="A2" s="4"/>
      <c r="B2" s="4"/>
      <c r="C2" s="4"/>
      <c r="D2" s="4"/>
      <c r="E2" s="4"/>
      <c r="F2" s="4"/>
      <c r="G2" s="4"/>
      <c r="H2" s="4"/>
    </row>
    <row r="3" spans="1:8" ht="44" customHeight="1">
      <c r="A3" s="29" t="s">
        <v>1</v>
      </c>
      <c r="B3" s="29"/>
      <c r="C3" s="29"/>
      <c r="D3" s="29"/>
      <c r="E3" s="29"/>
      <c r="F3" s="29"/>
      <c r="G3" s="29"/>
      <c r="H3" s="29"/>
    </row>
    <row r="4" spans="1:8" ht="16.5">
      <c r="A4" s="4"/>
      <c r="B4" s="4"/>
      <c r="C4" s="4"/>
      <c r="D4" s="4"/>
      <c r="E4" s="4"/>
      <c r="F4" s="4"/>
      <c r="G4" s="4"/>
      <c r="H4" s="4"/>
    </row>
    <row r="5" spans="1:8" ht="32" customHeight="1">
      <c r="A5" s="5" t="s">
        <v>2</v>
      </c>
      <c r="B5" s="6" t="s">
        <v>3</v>
      </c>
      <c r="C5" s="4"/>
      <c r="D5" s="5" t="s">
        <v>4</v>
      </c>
      <c r="E5" s="6" t="s">
        <v>5</v>
      </c>
      <c r="F5" s="4"/>
      <c r="G5" s="4"/>
      <c r="H5" s="4"/>
    </row>
    <row r="6" spans="1:8" ht="16.5">
      <c r="A6" s="4" t="s">
        <v>6</v>
      </c>
      <c r="B6" s="4" t="s">
        <v>7</v>
      </c>
      <c r="C6" s="4"/>
      <c r="D6" s="4" t="s">
        <v>8</v>
      </c>
      <c r="E6" s="4">
        <f>COUNTIF(最终标签!L2:L13,"需要")</f>
        <v>0</v>
      </c>
      <c r="F6" s="4"/>
      <c r="G6" s="4"/>
      <c r="H6" s="4"/>
    </row>
    <row r="7" spans="1:8" ht="16.5">
      <c r="A7" s="4" t="s">
        <v>9</v>
      </c>
      <c r="B7" s="4" t="s">
        <v>10</v>
      </c>
      <c r="C7" s="4"/>
      <c r="D7" s="4" t="s">
        <v>11</v>
      </c>
      <c r="E7" s="4">
        <f>COUNTIF(最终标签!K2:K13,"low")</f>
        <v>0</v>
      </c>
      <c r="F7" s="4"/>
      <c r="G7" s="4"/>
      <c r="H7" s="4"/>
    </row>
    <row r="8" spans="1:8" ht="16.5">
      <c r="A8" s="4" t="s">
        <v>12</v>
      </c>
      <c r="B8" s="4">
        <v>9</v>
      </c>
      <c r="C8" s="4"/>
      <c r="D8" s="4" t="s">
        <v>13</v>
      </c>
      <c r="E8" s="4" t="s">
        <v>14</v>
      </c>
      <c r="F8" s="4"/>
      <c r="G8" s="4"/>
      <c r="H8" s="4"/>
    </row>
    <row r="9" spans="1:8" ht="16.5">
      <c r="A9" s="4" t="s">
        <v>15</v>
      </c>
      <c r="B9" s="4">
        <v>3</v>
      </c>
      <c r="C9" s="4"/>
      <c r="D9" s="4" t="s">
        <v>16</v>
      </c>
      <c r="E9" s="4" t="s">
        <v>17</v>
      </c>
      <c r="F9" s="4"/>
      <c r="G9" s="4"/>
      <c r="H9" s="4"/>
    </row>
    <row r="10" spans="1:8" ht="16.5">
      <c r="A10" s="4" t="s">
        <v>18</v>
      </c>
      <c r="B10" s="4">
        <v>12</v>
      </c>
      <c r="C10" s="4"/>
      <c r="D10" s="4" t="s">
        <v>19</v>
      </c>
      <c r="E10" s="4" t="s">
        <v>17</v>
      </c>
      <c r="F10" s="4"/>
      <c r="G10" s="4"/>
      <c r="H10" s="4"/>
    </row>
    <row r="11" spans="1:8" ht="16.5">
      <c r="A11" s="4" t="s">
        <v>20</v>
      </c>
      <c r="B11" s="4">
        <f>COUNTIF(最终标签!P2:P13,"已完成")</f>
        <v>12</v>
      </c>
      <c r="C11" s="4"/>
      <c r="D11" s="4"/>
      <c r="E11" s="4"/>
      <c r="F11" s="4"/>
      <c r="G11" s="4"/>
      <c r="H11" s="4"/>
    </row>
    <row r="12" spans="1:8" ht="16.5">
      <c r="A12" s="4" t="s">
        <v>21</v>
      </c>
      <c r="B12" s="4">
        <f>B10-B11</f>
        <v>0</v>
      </c>
      <c r="C12" s="4"/>
      <c r="D12" s="4"/>
      <c r="E12" s="4"/>
      <c r="F12" s="4"/>
      <c r="G12" s="4"/>
      <c r="H12" s="4"/>
    </row>
    <row r="13" spans="1:8" ht="16.5">
      <c r="A13" s="4"/>
      <c r="B13" s="4"/>
      <c r="C13" s="4"/>
      <c r="D13" s="4"/>
      <c r="E13" s="4"/>
      <c r="F13" s="4"/>
      <c r="G13" s="4"/>
      <c r="H13" s="4"/>
    </row>
    <row r="14" spans="1:8" ht="16.5">
      <c r="A14" s="30" t="s">
        <v>22</v>
      </c>
      <c r="B14" s="28"/>
      <c r="C14" s="28"/>
      <c r="D14" s="28"/>
      <c r="E14" s="28"/>
      <c r="F14" s="28"/>
      <c r="G14" s="28"/>
      <c r="H14" s="28"/>
    </row>
    <row r="15" spans="1:8" ht="30" customHeight="1">
      <c r="A15" s="4" t="s">
        <v>23</v>
      </c>
      <c r="B15" s="28" t="s">
        <v>24</v>
      </c>
      <c r="C15" s="28"/>
      <c r="D15" s="28"/>
      <c r="E15" s="28"/>
      <c r="F15" s="28"/>
      <c r="G15" s="28"/>
      <c r="H15" s="28"/>
    </row>
    <row r="16" spans="1:8" ht="30" customHeight="1">
      <c r="A16" s="4" t="s">
        <v>25</v>
      </c>
      <c r="B16" s="28" t="s">
        <v>26</v>
      </c>
      <c r="C16" s="28"/>
      <c r="D16" s="28"/>
      <c r="E16" s="28"/>
      <c r="F16" s="28"/>
      <c r="G16" s="28"/>
      <c r="H16" s="28"/>
    </row>
    <row r="17" spans="1:8" ht="30" customHeight="1">
      <c r="A17" s="4" t="s">
        <v>27</v>
      </c>
      <c r="B17" s="28" t="s">
        <v>28</v>
      </c>
      <c r="C17" s="28"/>
      <c r="D17" s="28"/>
      <c r="E17" s="28"/>
      <c r="F17" s="28"/>
      <c r="G17" s="28"/>
      <c r="H17" s="28"/>
    </row>
    <row r="18" spans="1:8" ht="30" customHeight="1">
      <c r="A18" s="4" t="s">
        <v>29</v>
      </c>
      <c r="B18" s="28" t="s">
        <v>30</v>
      </c>
      <c r="C18" s="28"/>
      <c r="D18" s="28"/>
      <c r="E18" s="28"/>
      <c r="F18" s="28"/>
      <c r="G18" s="28"/>
      <c r="H18" s="28"/>
    </row>
    <row r="19" spans="1:8" ht="30" customHeight="1">
      <c r="A19" s="4" t="s">
        <v>31</v>
      </c>
      <c r="B19" s="28" t="s">
        <v>32</v>
      </c>
      <c r="C19" s="28"/>
      <c r="D19" s="28"/>
      <c r="E19" s="28"/>
      <c r="F19" s="28"/>
      <c r="G19" s="28"/>
      <c r="H19" s="28"/>
    </row>
    <row r="20" spans="1:8" ht="30" customHeight="1">
      <c r="A20" s="4" t="s">
        <v>33</v>
      </c>
      <c r="B20" s="28" t="s">
        <v>34</v>
      </c>
      <c r="C20" s="28"/>
      <c r="D20" s="28"/>
      <c r="E20" s="28"/>
      <c r="F20" s="28"/>
      <c r="G20" s="28"/>
      <c r="H20" s="28"/>
    </row>
    <row r="21" spans="1:8" ht="30" customHeight="1">
      <c r="A21" s="4" t="s">
        <v>35</v>
      </c>
      <c r="B21" s="28" t="s">
        <v>36</v>
      </c>
      <c r="C21" s="28"/>
      <c r="D21" s="28"/>
      <c r="E21" s="28"/>
      <c r="F21" s="28"/>
      <c r="G21" s="28"/>
      <c r="H21" s="28"/>
    </row>
  </sheetData>
  <mergeCells count="10">
    <mergeCell ref="B17:H17"/>
    <mergeCell ref="B18:H18"/>
    <mergeCell ref="B19:H19"/>
    <mergeCell ref="B20:H20"/>
    <mergeCell ref="B21:H21"/>
    <mergeCell ref="A1:H1"/>
    <mergeCell ref="A3:H3"/>
    <mergeCell ref="A14:H14"/>
    <mergeCell ref="B15:H15"/>
    <mergeCell ref="B16:H16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showGridLines="0" topLeftCell="F7" workbookViewId="0">
      <selection activeCell="H12" sqref="H12"/>
    </sheetView>
  </sheetViews>
  <sheetFormatPr defaultRowHeight="14"/>
  <cols>
    <col min="1" max="2" width="16" customWidth="1"/>
    <col min="3" max="3" width="44" customWidth="1"/>
    <col min="4" max="4" width="28" customWidth="1"/>
    <col min="5" max="5" width="30" customWidth="1"/>
    <col min="6" max="7" width="38" customWidth="1"/>
    <col min="8" max="9" width="52" customWidth="1"/>
    <col min="10" max="10" width="32" customWidth="1"/>
  </cols>
  <sheetData>
    <row r="1" spans="1:10" ht="32" customHeight="1">
      <c r="A1" s="1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2" t="s">
        <v>46</v>
      </c>
    </row>
    <row r="2" spans="1:10" ht="100" customHeight="1">
      <c r="A2" s="8" t="s">
        <v>47</v>
      </c>
      <c r="B2" s="8" t="s">
        <v>15</v>
      </c>
      <c r="C2" s="8" t="s">
        <v>48</v>
      </c>
      <c r="D2" s="8"/>
      <c r="E2" s="8" t="s">
        <v>49</v>
      </c>
      <c r="F2" s="8" t="s">
        <v>50</v>
      </c>
      <c r="G2" s="8" t="s">
        <v>50</v>
      </c>
      <c r="H2" s="8" t="s">
        <v>51</v>
      </c>
      <c r="I2" s="24" t="s">
        <v>282</v>
      </c>
      <c r="J2" s="21" t="s">
        <v>275</v>
      </c>
    </row>
    <row r="3" spans="1:10" ht="100" customHeight="1">
      <c r="A3" s="9" t="s">
        <v>54</v>
      </c>
      <c r="B3" s="9" t="s">
        <v>15</v>
      </c>
      <c r="C3" s="9" t="s">
        <v>55</v>
      </c>
      <c r="D3" s="9"/>
      <c r="E3" s="9" t="s">
        <v>49</v>
      </c>
      <c r="F3" s="9" t="s">
        <v>56</v>
      </c>
      <c r="G3" s="9" t="s">
        <v>56</v>
      </c>
      <c r="H3" s="9" t="s">
        <v>57</v>
      </c>
      <c r="I3" s="25" t="s">
        <v>283</v>
      </c>
      <c r="J3" s="9" t="s">
        <v>53</v>
      </c>
    </row>
    <row r="4" spans="1:10" ht="100" customHeight="1">
      <c r="A4" s="9" t="s">
        <v>59</v>
      </c>
      <c r="B4" s="9" t="s">
        <v>12</v>
      </c>
      <c r="C4" s="9" t="s">
        <v>60</v>
      </c>
      <c r="D4" s="9"/>
      <c r="E4" s="9" t="s">
        <v>61</v>
      </c>
      <c r="F4" s="22" t="s">
        <v>277</v>
      </c>
      <c r="G4" s="22" t="s">
        <v>278</v>
      </c>
      <c r="H4" s="9" t="s">
        <v>63</v>
      </c>
      <c r="I4" s="22" t="s">
        <v>284</v>
      </c>
      <c r="J4" s="9" t="s">
        <v>65</v>
      </c>
    </row>
    <row r="5" spans="1:10" ht="100" customHeight="1">
      <c r="A5" s="9" t="s">
        <v>66</v>
      </c>
      <c r="B5" s="9" t="s">
        <v>12</v>
      </c>
      <c r="C5" s="9" t="s">
        <v>67</v>
      </c>
      <c r="D5" s="9" t="s">
        <v>68</v>
      </c>
      <c r="E5" s="9" t="s">
        <v>61</v>
      </c>
      <c r="F5" s="9" t="s">
        <v>69</v>
      </c>
      <c r="G5" s="9" t="s">
        <v>70</v>
      </c>
      <c r="H5" s="9" t="s">
        <v>71</v>
      </c>
      <c r="I5" s="9" t="s">
        <v>72</v>
      </c>
      <c r="J5" s="9" t="s">
        <v>65</v>
      </c>
    </row>
    <row r="6" spans="1:10" ht="100" customHeight="1">
      <c r="A6" s="9" t="s">
        <v>73</v>
      </c>
      <c r="B6" s="9" t="s">
        <v>15</v>
      </c>
      <c r="C6" s="9" t="s">
        <v>74</v>
      </c>
      <c r="D6" s="9"/>
      <c r="E6" s="9" t="s">
        <v>49</v>
      </c>
      <c r="F6" s="9" t="s">
        <v>62</v>
      </c>
      <c r="G6" s="9" t="s">
        <v>62</v>
      </c>
      <c r="H6" s="9" t="s">
        <v>75</v>
      </c>
      <c r="I6" s="9" t="s">
        <v>76</v>
      </c>
      <c r="J6" s="9" t="s">
        <v>53</v>
      </c>
    </row>
    <row r="7" spans="1:10" ht="100" customHeight="1">
      <c r="A7" s="9" t="s">
        <v>77</v>
      </c>
      <c r="B7" s="9" t="s">
        <v>12</v>
      </c>
      <c r="C7" s="9" t="s">
        <v>78</v>
      </c>
      <c r="D7" s="9"/>
      <c r="E7" s="9" t="s">
        <v>79</v>
      </c>
      <c r="F7" s="9" t="s">
        <v>80</v>
      </c>
      <c r="G7" s="9" t="s">
        <v>81</v>
      </c>
      <c r="H7" s="9" t="s">
        <v>82</v>
      </c>
      <c r="I7" s="9" t="s">
        <v>83</v>
      </c>
      <c r="J7" s="9" t="s">
        <v>65</v>
      </c>
    </row>
    <row r="8" spans="1:10" ht="100" customHeight="1">
      <c r="A8" s="9" t="s">
        <v>84</v>
      </c>
      <c r="B8" s="9" t="s">
        <v>12</v>
      </c>
      <c r="C8" s="9" t="s">
        <v>85</v>
      </c>
      <c r="D8" s="9" t="s">
        <v>86</v>
      </c>
      <c r="E8" s="9" t="s">
        <v>61</v>
      </c>
      <c r="F8" s="9" t="s">
        <v>87</v>
      </c>
      <c r="G8" s="9" t="s">
        <v>88</v>
      </c>
      <c r="H8" s="9" t="s">
        <v>89</v>
      </c>
      <c r="I8" s="9" t="s">
        <v>90</v>
      </c>
      <c r="J8" s="9" t="s">
        <v>65</v>
      </c>
    </row>
    <row r="9" spans="1:10" ht="100" customHeight="1">
      <c r="A9" s="9" t="s">
        <v>91</v>
      </c>
      <c r="B9" s="9" t="s">
        <v>12</v>
      </c>
      <c r="C9" s="9" t="s">
        <v>92</v>
      </c>
      <c r="D9" s="9" t="s">
        <v>93</v>
      </c>
      <c r="E9" s="9" t="s">
        <v>61</v>
      </c>
      <c r="F9" s="9" t="s">
        <v>94</v>
      </c>
      <c r="G9" s="9" t="s">
        <v>95</v>
      </c>
      <c r="H9" s="9" t="s">
        <v>96</v>
      </c>
      <c r="I9" s="9" t="s">
        <v>97</v>
      </c>
      <c r="J9" s="9" t="s">
        <v>65</v>
      </c>
    </row>
    <row r="10" spans="1:10" ht="100" customHeight="1">
      <c r="A10" s="9" t="s">
        <v>98</v>
      </c>
      <c r="B10" s="9" t="s">
        <v>12</v>
      </c>
      <c r="C10" s="9" t="s">
        <v>99</v>
      </c>
      <c r="D10" s="9" t="s">
        <v>100</v>
      </c>
      <c r="E10" s="9" t="s">
        <v>101</v>
      </c>
      <c r="F10" s="9" t="s">
        <v>102</v>
      </c>
      <c r="G10" s="9" t="s">
        <v>103</v>
      </c>
      <c r="H10" s="9" t="s">
        <v>104</v>
      </c>
      <c r="I10" s="9" t="s">
        <v>105</v>
      </c>
      <c r="J10" s="9" t="s">
        <v>65</v>
      </c>
    </row>
    <row r="11" spans="1:10" ht="100" customHeight="1">
      <c r="A11" s="9" t="s">
        <v>106</v>
      </c>
      <c r="B11" s="9" t="s">
        <v>12</v>
      </c>
      <c r="C11" s="9" t="s">
        <v>107</v>
      </c>
      <c r="D11" s="9" t="s">
        <v>108</v>
      </c>
      <c r="E11" s="9" t="s">
        <v>109</v>
      </c>
      <c r="F11" s="9" t="s">
        <v>110</v>
      </c>
      <c r="G11" s="22" t="s">
        <v>279</v>
      </c>
      <c r="H11" s="9" t="s">
        <v>111</v>
      </c>
      <c r="I11" s="9" t="s">
        <v>112</v>
      </c>
      <c r="J11" s="9" t="s">
        <v>65</v>
      </c>
    </row>
    <row r="12" spans="1:10" ht="100" customHeight="1">
      <c r="A12" s="9" t="s">
        <v>113</v>
      </c>
      <c r="B12" s="9" t="s">
        <v>12</v>
      </c>
      <c r="C12" s="9" t="s">
        <v>114</v>
      </c>
      <c r="D12" s="9" t="s">
        <v>115</v>
      </c>
      <c r="E12" s="9" t="s">
        <v>79</v>
      </c>
      <c r="F12" s="9" t="s">
        <v>116</v>
      </c>
      <c r="G12" s="22" t="s">
        <v>280</v>
      </c>
      <c r="H12" s="9" t="s">
        <v>117</v>
      </c>
      <c r="I12" s="9" t="s">
        <v>118</v>
      </c>
      <c r="J12" s="9" t="s">
        <v>65</v>
      </c>
    </row>
    <row r="13" spans="1:10" ht="100" customHeight="1">
      <c r="A13" s="10" t="s">
        <v>119</v>
      </c>
      <c r="B13" s="10" t="s">
        <v>12</v>
      </c>
      <c r="C13" s="10" t="s">
        <v>120</v>
      </c>
      <c r="D13" s="10"/>
      <c r="E13" s="10" t="s">
        <v>79</v>
      </c>
      <c r="F13" s="10" t="s">
        <v>121</v>
      </c>
      <c r="G13" s="23" t="s">
        <v>281</v>
      </c>
      <c r="H13" s="10" t="s">
        <v>122</v>
      </c>
      <c r="I13" s="10" t="s">
        <v>123</v>
      </c>
      <c r="J13" s="10" t="s">
        <v>65</v>
      </c>
    </row>
  </sheetData>
  <phoneticPr fontId="9" type="noConversion"/>
  <conditionalFormatting sqref="B2:B13">
    <cfRule type="containsText" dxfId="3" priority="1" operator="containsText" text="实质性分歧"/>
    <cfRule type="containsText" dxfId="2" priority="2" operator="containsText" text="一致性抽查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3"/>
  <sheetViews>
    <sheetView showGridLines="0" tabSelected="1" topLeftCell="F6" workbookViewId="0">
      <selection activeCell="K12" sqref="K12"/>
    </sheetView>
  </sheetViews>
  <sheetFormatPr defaultRowHeight="14"/>
  <cols>
    <col min="1" max="2" width="16" customWidth="1"/>
    <col min="3" max="3" width="20" customWidth="1"/>
    <col min="4" max="4" width="24" customWidth="1"/>
    <col min="5" max="5" width="25" customWidth="1"/>
    <col min="6" max="6" width="21" customWidth="1"/>
    <col min="7" max="7" width="18" customWidth="1"/>
    <col min="8" max="8" width="27" customWidth="1"/>
    <col min="9" max="9" width="32" customWidth="1"/>
    <col min="10" max="10" width="52" customWidth="1"/>
    <col min="11" max="13" width="18" customWidth="1"/>
    <col min="14" max="14" width="20" customWidth="1"/>
    <col min="15" max="15" width="34" customWidth="1"/>
    <col min="16" max="16" width="14" customWidth="1"/>
  </cols>
  <sheetData>
    <row r="1" spans="1:16" ht="32" customHeight="1">
      <c r="A1" s="1" t="s">
        <v>37</v>
      </c>
      <c r="B1" s="7" t="s">
        <v>38</v>
      </c>
      <c r="C1" s="7" t="s">
        <v>124</v>
      </c>
      <c r="D1" s="7" t="s">
        <v>125</v>
      </c>
      <c r="E1" s="7" t="s">
        <v>126</v>
      </c>
      <c r="F1" s="7" t="s">
        <v>61</v>
      </c>
      <c r="G1" s="7" t="s">
        <v>127</v>
      </c>
      <c r="H1" s="7" t="s">
        <v>128</v>
      </c>
      <c r="I1" s="7" t="s">
        <v>129</v>
      </c>
      <c r="J1" s="7" t="s">
        <v>130</v>
      </c>
      <c r="K1" s="7" t="s">
        <v>131</v>
      </c>
      <c r="L1" s="7" t="s">
        <v>8</v>
      </c>
      <c r="M1" s="7" t="s">
        <v>132</v>
      </c>
      <c r="N1" s="7" t="s">
        <v>133</v>
      </c>
      <c r="O1" s="7" t="s">
        <v>134</v>
      </c>
      <c r="P1" s="2" t="s">
        <v>135</v>
      </c>
    </row>
    <row r="2" spans="1:16" ht="58" customHeight="1">
      <c r="A2" s="11" t="s">
        <v>47</v>
      </c>
      <c r="B2" s="11" t="s">
        <v>15</v>
      </c>
      <c r="C2" s="14" t="s">
        <v>136</v>
      </c>
      <c r="D2" s="14" t="s">
        <v>137</v>
      </c>
      <c r="E2" s="14" t="s">
        <v>138</v>
      </c>
      <c r="F2" s="14" t="s">
        <v>139</v>
      </c>
      <c r="G2" s="14" t="s">
        <v>140</v>
      </c>
      <c r="H2" s="14" t="s">
        <v>141</v>
      </c>
      <c r="I2" s="14"/>
      <c r="J2" s="26" t="s">
        <v>282</v>
      </c>
      <c r="K2" s="14" t="s">
        <v>196</v>
      </c>
      <c r="L2" s="14" t="s">
        <v>276</v>
      </c>
      <c r="M2" s="15" t="s">
        <v>288</v>
      </c>
      <c r="N2" s="14"/>
      <c r="O2" s="14"/>
      <c r="P2" s="18" t="str">
        <f>IF(AND(C2&lt;&gt;"",D2&lt;&gt;"",E2&lt;&gt;"",F2&lt;&gt;"",G2&lt;&gt;"",H2&lt;&gt;"",J2&lt;&gt;"",K2&lt;&gt;"",L2&lt;&gt;""),"已完成","待填写")</f>
        <v>已完成</v>
      </c>
    </row>
    <row r="3" spans="1:16" ht="58" customHeight="1">
      <c r="A3" s="12" t="s">
        <v>54</v>
      </c>
      <c r="B3" s="12" t="s">
        <v>15</v>
      </c>
      <c r="C3" s="15" t="s">
        <v>142</v>
      </c>
      <c r="D3" s="15" t="s">
        <v>137</v>
      </c>
      <c r="E3" s="15" t="s">
        <v>138</v>
      </c>
      <c r="F3" s="15" t="s">
        <v>139</v>
      </c>
      <c r="G3" s="15" t="s">
        <v>140</v>
      </c>
      <c r="H3" s="15" t="s">
        <v>143</v>
      </c>
      <c r="I3" s="15"/>
      <c r="J3" s="15" t="s">
        <v>283</v>
      </c>
      <c r="K3" s="14" t="s">
        <v>196</v>
      </c>
      <c r="L3" s="14" t="s">
        <v>276</v>
      </c>
      <c r="M3" s="15" t="s">
        <v>288</v>
      </c>
      <c r="N3" s="15"/>
      <c r="O3" s="15"/>
      <c r="P3" s="19" t="str">
        <f t="shared" ref="P3:P13" si="0">IF(AND(C3&lt;&gt;"",D3&lt;&gt;"",E3&lt;&gt;"",F3&lt;&gt;"",G3&lt;&gt;"",H3&lt;&gt;"",J3&lt;&gt;"",K3&lt;&gt;"",L3&lt;&gt;""),"已完成","待填写")</f>
        <v>已完成</v>
      </c>
    </row>
    <row r="4" spans="1:16" ht="58" customHeight="1">
      <c r="A4" s="12" t="s">
        <v>59</v>
      </c>
      <c r="B4" s="12" t="s">
        <v>12</v>
      </c>
      <c r="C4" s="15" t="s">
        <v>144</v>
      </c>
      <c r="D4" s="15" t="s">
        <v>137</v>
      </c>
      <c r="E4" s="15" t="s">
        <v>138</v>
      </c>
      <c r="F4" s="17" t="s">
        <v>165</v>
      </c>
      <c r="G4" s="15" t="s">
        <v>140</v>
      </c>
      <c r="H4" s="15" t="s">
        <v>145</v>
      </c>
      <c r="I4" s="15"/>
      <c r="J4" s="15" t="s">
        <v>285</v>
      </c>
      <c r="K4" s="14" t="s">
        <v>196</v>
      </c>
      <c r="L4" s="14" t="s">
        <v>276</v>
      </c>
      <c r="M4" s="15" t="s">
        <v>288</v>
      </c>
      <c r="N4" s="15"/>
      <c r="O4" s="15"/>
      <c r="P4" s="19" t="str">
        <f t="shared" si="0"/>
        <v>已完成</v>
      </c>
    </row>
    <row r="5" spans="1:16" ht="58" customHeight="1">
      <c r="A5" s="12" t="s">
        <v>66</v>
      </c>
      <c r="B5" s="12" t="s">
        <v>12</v>
      </c>
      <c r="C5" s="15" t="s">
        <v>144</v>
      </c>
      <c r="D5" s="15" t="s">
        <v>137</v>
      </c>
      <c r="E5" s="15" t="s">
        <v>146</v>
      </c>
      <c r="F5" s="17" t="s">
        <v>165</v>
      </c>
      <c r="G5" s="15" t="s">
        <v>147</v>
      </c>
      <c r="H5" s="15" t="s">
        <v>148</v>
      </c>
      <c r="I5" s="15"/>
      <c r="J5" s="15" t="s">
        <v>72</v>
      </c>
      <c r="K5" s="14" t="s">
        <v>196</v>
      </c>
      <c r="L5" s="14" t="s">
        <v>276</v>
      </c>
      <c r="M5" s="15" t="s">
        <v>288</v>
      </c>
      <c r="N5" s="15"/>
      <c r="O5" s="15"/>
      <c r="P5" s="19" t="str">
        <f t="shared" si="0"/>
        <v>已完成</v>
      </c>
    </row>
    <row r="6" spans="1:16" ht="58" customHeight="1">
      <c r="A6" s="12" t="s">
        <v>73</v>
      </c>
      <c r="B6" s="12" t="s">
        <v>15</v>
      </c>
      <c r="C6" s="15" t="s">
        <v>144</v>
      </c>
      <c r="D6" s="15" t="s">
        <v>137</v>
      </c>
      <c r="E6" s="15" t="s">
        <v>138</v>
      </c>
      <c r="F6" s="15" t="s">
        <v>139</v>
      </c>
      <c r="G6" s="15" t="s">
        <v>140</v>
      </c>
      <c r="H6" s="15" t="s">
        <v>145</v>
      </c>
      <c r="I6" s="15"/>
      <c r="J6" s="15" t="s">
        <v>76</v>
      </c>
      <c r="K6" s="14" t="s">
        <v>196</v>
      </c>
      <c r="L6" s="14" t="s">
        <v>276</v>
      </c>
      <c r="M6" s="15" t="s">
        <v>288</v>
      </c>
      <c r="N6" s="15"/>
      <c r="O6" s="15"/>
      <c r="P6" s="19" t="str">
        <f t="shared" si="0"/>
        <v>已完成</v>
      </c>
    </row>
    <row r="7" spans="1:16" ht="58" customHeight="1">
      <c r="A7" s="12" t="s">
        <v>77</v>
      </c>
      <c r="B7" s="12" t="s">
        <v>12</v>
      </c>
      <c r="C7" s="15" t="s">
        <v>144</v>
      </c>
      <c r="D7" s="15" t="s">
        <v>137</v>
      </c>
      <c r="E7" s="15" t="s">
        <v>146</v>
      </c>
      <c r="F7" s="15" t="s">
        <v>149</v>
      </c>
      <c r="G7" s="15" t="s">
        <v>140</v>
      </c>
      <c r="H7" s="17" t="s">
        <v>286</v>
      </c>
      <c r="I7" s="15"/>
      <c r="J7" s="15" t="s">
        <v>289</v>
      </c>
      <c r="K7" s="14" t="s">
        <v>196</v>
      </c>
      <c r="L7" s="14" t="s">
        <v>276</v>
      </c>
      <c r="M7" s="15" t="s">
        <v>288</v>
      </c>
      <c r="N7" s="15"/>
      <c r="O7" s="15"/>
      <c r="P7" s="19" t="str">
        <f t="shared" si="0"/>
        <v>已完成</v>
      </c>
    </row>
    <row r="8" spans="1:16" ht="58" customHeight="1">
      <c r="A8" s="12" t="s">
        <v>84</v>
      </c>
      <c r="B8" s="12" t="s">
        <v>12</v>
      </c>
      <c r="C8" s="15" t="s">
        <v>144</v>
      </c>
      <c r="D8" s="15" t="s">
        <v>137</v>
      </c>
      <c r="E8" s="15" t="s">
        <v>146</v>
      </c>
      <c r="F8" s="17" t="s">
        <v>149</v>
      </c>
      <c r="G8" s="15" t="s">
        <v>147</v>
      </c>
      <c r="H8" s="15" t="s">
        <v>148</v>
      </c>
      <c r="I8" s="15"/>
      <c r="J8" s="15" t="s">
        <v>90</v>
      </c>
      <c r="K8" s="14" t="s">
        <v>196</v>
      </c>
      <c r="L8" s="14" t="s">
        <v>276</v>
      </c>
      <c r="M8" s="15" t="s">
        <v>288</v>
      </c>
      <c r="N8" s="15"/>
      <c r="O8" s="15"/>
      <c r="P8" s="19" t="str">
        <f t="shared" si="0"/>
        <v>已完成</v>
      </c>
    </row>
    <row r="9" spans="1:16" ht="58" customHeight="1">
      <c r="A9" s="12" t="s">
        <v>91</v>
      </c>
      <c r="B9" s="12" t="s">
        <v>12</v>
      </c>
      <c r="C9" s="15" t="s">
        <v>136</v>
      </c>
      <c r="D9" s="15" t="s">
        <v>137</v>
      </c>
      <c r="E9" s="15" t="s">
        <v>138</v>
      </c>
      <c r="F9" s="17" t="s">
        <v>149</v>
      </c>
      <c r="G9" s="15" t="s">
        <v>140</v>
      </c>
      <c r="H9" s="15" t="s">
        <v>141</v>
      </c>
      <c r="I9" s="15"/>
      <c r="J9" s="15" t="s">
        <v>97</v>
      </c>
      <c r="K9" s="14" t="s">
        <v>196</v>
      </c>
      <c r="L9" s="14" t="s">
        <v>276</v>
      </c>
      <c r="M9" s="15" t="s">
        <v>288</v>
      </c>
      <c r="N9" s="15"/>
      <c r="O9" s="15"/>
      <c r="P9" s="19" t="str">
        <f>IF(AND(C9&lt;&gt;"",D9&lt;&gt;"",E9&lt;&gt;"",F9&lt;&gt;"",G9&lt;&gt;"",H9&lt;&gt;"",J9&lt;&gt;"",K9&lt;&gt;"",L9&lt;&gt;""),"已完成","待填写")</f>
        <v>已完成</v>
      </c>
    </row>
    <row r="10" spans="1:16" ht="58" customHeight="1">
      <c r="A10" s="12" t="s">
        <v>98</v>
      </c>
      <c r="B10" s="12" t="s">
        <v>12</v>
      </c>
      <c r="C10" s="15" t="s">
        <v>144</v>
      </c>
      <c r="D10" s="15" t="s">
        <v>150</v>
      </c>
      <c r="E10" s="17" t="s">
        <v>177</v>
      </c>
      <c r="F10" s="17" t="s">
        <v>165</v>
      </c>
      <c r="G10" s="15" t="s">
        <v>140</v>
      </c>
      <c r="H10" s="15" t="s">
        <v>151</v>
      </c>
      <c r="I10" s="15"/>
      <c r="J10" s="15" t="s">
        <v>105</v>
      </c>
      <c r="K10" s="14" t="s">
        <v>196</v>
      </c>
      <c r="L10" s="14" t="s">
        <v>276</v>
      </c>
      <c r="M10" s="15" t="s">
        <v>288</v>
      </c>
      <c r="N10" s="15"/>
      <c r="O10" s="15"/>
      <c r="P10" s="19" t="str">
        <f t="shared" si="0"/>
        <v>已完成</v>
      </c>
    </row>
    <row r="11" spans="1:16" ht="58" customHeight="1">
      <c r="A11" s="12" t="s">
        <v>106</v>
      </c>
      <c r="B11" s="12" t="s">
        <v>12</v>
      </c>
      <c r="C11" s="15" t="s">
        <v>142</v>
      </c>
      <c r="D11" s="17" t="s">
        <v>137</v>
      </c>
      <c r="E11" s="15" t="s">
        <v>146</v>
      </c>
      <c r="F11" s="15" t="s">
        <v>139</v>
      </c>
      <c r="G11" s="15" t="s">
        <v>140</v>
      </c>
      <c r="H11" s="17" t="s">
        <v>287</v>
      </c>
      <c r="I11" s="15"/>
      <c r="J11" s="15" t="s">
        <v>112</v>
      </c>
      <c r="K11" s="14" t="s">
        <v>196</v>
      </c>
      <c r="L11" s="14" t="s">
        <v>276</v>
      </c>
      <c r="M11" s="15" t="s">
        <v>288</v>
      </c>
      <c r="N11" s="15"/>
      <c r="O11" s="15"/>
      <c r="P11" s="19" t="str">
        <f t="shared" si="0"/>
        <v>已完成</v>
      </c>
    </row>
    <row r="12" spans="1:16" ht="58" customHeight="1">
      <c r="A12" s="12" t="s">
        <v>113</v>
      </c>
      <c r="B12" s="12" t="s">
        <v>12</v>
      </c>
      <c r="C12" s="15" t="s">
        <v>144</v>
      </c>
      <c r="D12" s="15" t="s">
        <v>137</v>
      </c>
      <c r="E12" s="15" t="s">
        <v>146</v>
      </c>
      <c r="F12" s="15" t="s">
        <v>149</v>
      </c>
      <c r="G12" s="15" t="s">
        <v>140</v>
      </c>
      <c r="H12" s="17" t="s">
        <v>286</v>
      </c>
      <c r="I12" s="15"/>
      <c r="J12" s="15" t="s">
        <v>290</v>
      </c>
      <c r="K12" s="14" t="s">
        <v>196</v>
      </c>
      <c r="L12" s="14" t="s">
        <v>276</v>
      </c>
      <c r="M12" s="15" t="s">
        <v>288</v>
      </c>
      <c r="N12" s="15"/>
      <c r="O12" s="15"/>
      <c r="P12" s="19" t="str">
        <f t="shared" si="0"/>
        <v>已完成</v>
      </c>
    </row>
    <row r="13" spans="1:16" ht="58" customHeight="1">
      <c r="A13" s="13" t="s">
        <v>119</v>
      </c>
      <c r="B13" s="13" t="s">
        <v>12</v>
      </c>
      <c r="C13" s="16" t="s">
        <v>144</v>
      </c>
      <c r="D13" s="16" t="s">
        <v>137</v>
      </c>
      <c r="E13" s="16" t="s">
        <v>146</v>
      </c>
      <c r="F13" s="16" t="s">
        <v>139</v>
      </c>
      <c r="G13" s="16" t="s">
        <v>140</v>
      </c>
      <c r="H13" s="17" t="s">
        <v>286</v>
      </c>
      <c r="I13" s="16"/>
      <c r="J13" s="15" t="s">
        <v>291</v>
      </c>
      <c r="K13" s="14" t="s">
        <v>196</v>
      </c>
      <c r="L13" s="14" t="s">
        <v>276</v>
      </c>
      <c r="M13" s="15" t="s">
        <v>288</v>
      </c>
      <c r="N13" s="16"/>
      <c r="O13" s="16"/>
      <c r="P13" s="20" t="str">
        <f t="shared" si="0"/>
        <v>已完成</v>
      </c>
    </row>
  </sheetData>
  <phoneticPr fontId="9" type="noConversion"/>
  <conditionalFormatting sqref="P2:P13">
    <cfRule type="containsText" dxfId="1" priority="1" operator="containsText" text="已完成"/>
  </conditionalFormatting>
  <dataValidations count="7">
    <dataValidation type="list" sqref="C2:C13" xr:uid="{00000000-0002-0000-0200-000000000000}">
      <formula1>"none,optional,required"</formula1>
    </dataValidation>
    <dataValidation type="list" sqref="D2:D13" xr:uid="{00000000-0002-0000-0200-000001000000}">
      <formula1>"answerable,ambiguous_request,missing_task_information"</formula1>
    </dataValidation>
    <dataValidation type="list" sqref="E2:E13" xr:uid="{00000000-0002-0000-0200-000002000000}">
      <formula1>"sufficient,missing_execution_input,ambiguous_execution_input"</formula1>
    </dataValidation>
    <dataValidation type="list" sqref="F2:F13" xr:uid="{00000000-0002-0000-0200-000003000000}">
      <formula1>"available,unavailable,uncertain"</formula1>
    </dataValidation>
    <dataValidation type="list" sqref="G2:G13" xr:uid="{00000000-0002-0000-0200-000004000000}">
      <formula1>"normal,review_required"</formula1>
    </dataValidation>
    <dataValidation type="list" sqref="K2:K13" xr:uid="{00000000-0002-0000-0200-000005000000}">
      <formula1>"high,medium,low"</formula1>
    </dataValidation>
    <dataValidation type="list" sqref="L2:L13" xr:uid="{00000000-0002-0000-0200-000006000000}">
      <formula1>"需要,不需要,无法判断"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5"/>
  <sheetViews>
    <sheetView showGridLines="0" workbookViewId="0"/>
  </sheetViews>
  <sheetFormatPr defaultRowHeight="14"/>
  <cols>
    <col min="1" max="2" width="16" customWidth="1"/>
    <col min="3" max="3" width="25" customWidth="1"/>
    <col min="4" max="4" width="18" customWidth="1"/>
    <col min="5" max="6" width="34" customWidth="1"/>
    <col min="7" max="7" width="16" customWidth="1"/>
    <col min="8" max="8" width="18" customWidth="1"/>
  </cols>
  <sheetData>
    <row r="1" spans="1:8" ht="32" customHeight="1">
      <c r="A1" s="1" t="s">
        <v>37</v>
      </c>
      <c r="B1" s="7" t="s">
        <v>38</v>
      </c>
      <c r="C1" s="7" t="s">
        <v>152</v>
      </c>
      <c r="D1" s="7" t="s">
        <v>153</v>
      </c>
      <c r="E1" s="7" t="s">
        <v>154</v>
      </c>
      <c r="F1" s="7" t="s">
        <v>155</v>
      </c>
      <c r="G1" s="7" t="s">
        <v>156</v>
      </c>
      <c r="H1" s="2" t="s">
        <v>157</v>
      </c>
    </row>
    <row r="2" spans="1:8" ht="36" customHeight="1">
      <c r="A2" s="8" t="s">
        <v>47</v>
      </c>
      <c r="B2" s="8" t="s">
        <v>15</v>
      </c>
      <c r="C2" s="8" t="s">
        <v>124</v>
      </c>
      <c r="D2" s="8" t="s">
        <v>158</v>
      </c>
      <c r="E2" s="8" t="s">
        <v>136</v>
      </c>
      <c r="F2" s="8" t="s">
        <v>136</v>
      </c>
      <c r="G2" s="8" t="s">
        <v>159</v>
      </c>
      <c r="H2" s="8" t="s">
        <v>160</v>
      </c>
    </row>
    <row r="3" spans="1:8" ht="36" customHeight="1">
      <c r="A3" s="9" t="s">
        <v>47</v>
      </c>
      <c r="B3" s="9" t="s">
        <v>15</v>
      </c>
      <c r="C3" s="9" t="s">
        <v>125</v>
      </c>
      <c r="D3" s="9" t="s">
        <v>158</v>
      </c>
      <c r="E3" s="9" t="s">
        <v>137</v>
      </c>
      <c r="F3" s="9" t="s">
        <v>137</v>
      </c>
      <c r="G3" s="9" t="s">
        <v>159</v>
      </c>
      <c r="H3" s="9" t="s">
        <v>160</v>
      </c>
    </row>
    <row r="4" spans="1:8" ht="36" customHeight="1">
      <c r="A4" s="9" t="s">
        <v>47</v>
      </c>
      <c r="B4" s="9" t="s">
        <v>15</v>
      </c>
      <c r="C4" s="9" t="s">
        <v>126</v>
      </c>
      <c r="D4" s="9" t="s">
        <v>158</v>
      </c>
      <c r="E4" s="9" t="s">
        <v>138</v>
      </c>
      <c r="F4" s="9" t="s">
        <v>138</v>
      </c>
      <c r="G4" s="9" t="s">
        <v>159</v>
      </c>
      <c r="H4" s="9" t="s">
        <v>160</v>
      </c>
    </row>
    <row r="5" spans="1:8" ht="36" customHeight="1">
      <c r="A5" s="9" t="s">
        <v>47</v>
      </c>
      <c r="B5" s="9" t="s">
        <v>15</v>
      </c>
      <c r="C5" s="9" t="s">
        <v>61</v>
      </c>
      <c r="D5" s="9" t="s">
        <v>158</v>
      </c>
      <c r="E5" s="9" t="s">
        <v>139</v>
      </c>
      <c r="F5" s="9" t="s">
        <v>139</v>
      </c>
      <c r="G5" s="9" t="s">
        <v>159</v>
      </c>
      <c r="H5" s="9" t="s">
        <v>160</v>
      </c>
    </row>
    <row r="6" spans="1:8" ht="36" customHeight="1">
      <c r="A6" s="9" t="s">
        <v>47</v>
      </c>
      <c r="B6" s="9" t="s">
        <v>15</v>
      </c>
      <c r="C6" s="9" t="s">
        <v>127</v>
      </c>
      <c r="D6" s="9" t="s">
        <v>158</v>
      </c>
      <c r="E6" s="9" t="s">
        <v>140</v>
      </c>
      <c r="F6" s="9" t="s">
        <v>140</v>
      </c>
      <c r="G6" s="9" t="s">
        <v>159</v>
      </c>
      <c r="H6" s="9" t="s">
        <v>160</v>
      </c>
    </row>
    <row r="7" spans="1:8" ht="36" customHeight="1">
      <c r="A7" s="9" t="s">
        <v>47</v>
      </c>
      <c r="B7" s="9" t="s">
        <v>15</v>
      </c>
      <c r="C7" s="9" t="s">
        <v>79</v>
      </c>
      <c r="D7" s="9" t="s">
        <v>161</v>
      </c>
      <c r="E7" s="9" t="s">
        <v>141</v>
      </c>
      <c r="F7" s="9" t="s">
        <v>141</v>
      </c>
      <c r="G7" s="9" t="s">
        <v>159</v>
      </c>
      <c r="H7" s="9" t="s">
        <v>160</v>
      </c>
    </row>
    <row r="8" spans="1:8" ht="36" customHeight="1">
      <c r="A8" s="9" t="s">
        <v>47</v>
      </c>
      <c r="B8" s="9" t="s">
        <v>15</v>
      </c>
      <c r="C8" s="9" t="s">
        <v>162</v>
      </c>
      <c r="D8" s="9" t="s">
        <v>163</v>
      </c>
      <c r="E8" s="9"/>
      <c r="F8" s="9"/>
      <c r="G8" s="9" t="s">
        <v>159</v>
      </c>
      <c r="H8" s="9" t="s">
        <v>164</v>
      </c>
    </row>
    <row r="9" spans="1:8" ht="36" customHeight="1">
      <c r="A9" s="9" t="s">
        <v>54</v>
      </c>
      <c r="B9" s="9" t="s">
        <v>15</v>
      </c>
      <c r="C9" s="9" t="s">
        <v>124</v>
      </c>
      <c r="D9" s="9" t="s">
        <v>158</v>
      </c>
      <c r="E9" s="9" t="s">
        <v>142</v>
      </c>
      <c r="F9" s="9" t="s">
        <v>142</v>
      </c>
      <c r="G9" s="9" t="s">
        <v>159</v>
      </c>
      <c r="H9" s="9" t="s">
        <v>160</v>
      </c>
    </row>
    <row r="10" spans="1:8" ht="36" customHeight="1">
      <c r="A10" s="9" t="s">
        <v>54</v>
      </c>
      <c r="B10" s="9" t="s">
        <v>15</v>
      </c>
      <c r="C10" s="9" t="s">
        <v>125</v>
      </c>
      <c r="D10" s="9" t="s">
        <v>158</v>
      </c>
      <c r="E10" s="9" t="s">
        <v>137</v>
      </c>
      <c r="F10" s="9" t="s">
        <v>137</v>
      </c>
      <c r="G10" s="9" t="s">
        <v>159</v>
      </c>
      <c r="H10" s="9" t="s">
        <v>160</v>
      </c>
    </row>
    <row r="11" spans="1:8" ht="36" customHeight="1">
      <c r="A11" s="9" t="s">
        <v>54</v>
      </c>
      <c r="B11" s="9" t="s">
        <v>15</v>
      </c>
      <c r="C11" s="9" t="s">
        <v>126</v>
      </c>
      <c r="D11" s="9" t="s">
        <v>158</v>
      </c>
      <c r="E11" s="9" t="s">
        <v>138</v>
      </c>
      <c r="F11" s="9" t="s">
        <v>138</v>
      </c>
      <c r="G11" s="9" t="s">
        <v>159</v>
      </c>
      <c r="H11" s="9" t="s">
        <v>160</v>
      </c>
    </row>
    <row r="12" spans="1:8" ht="36" customHeight="1">
      <c r="A12" s="9" t="s">
        <v>54</v>
      </c>
      <c r="B12" s="9" t="s">
        <v>15</v>
      </c>
      <c r="C12" s="9" t="s">
        <v>61</v>
      </c>
      <c r="D12" s="9" t="s">
        <v>158</v>
      </c>
      <c r="E12" s="9" t="s">
        <v>139</v>
      </c>
      <c r="F12" s="9" t="s">
        <v>139</v>
      </c>
      <c r="G12" s="9" t="s">
        <v>159</v>
      </c>
      <c r="H12" s="9" t="s">
        <v>160</v>
      </c>
    </row>
    <row r="13" spans="1:8" ht="36" customHeight="1">
      <c r="A13" s="9" t="s">
        <v>54</v>
      </c>
      <c r="B13" s="9" t="s">
        <v>15</v>
      </c>
      <c r="C13" s="9" t="s">
        <v>127</v>
      </c>
      <c r="D13" s="9" t="s">
        <v>158</v>
      </c>
      <c r="E13" s="9" t="s">
        <v>140</v>
      </c>
      <c r="F13" s="9" t="s">
        <v>140</v>
      </c>
      <c r="G13" s="9" t="s">
        <v>159</v>
      </c>
      <c r="H13" s="9" t="s">
        <v>160</v>
      </c>
    </row>
    <row r="14" spans="1:8" ht="36" customHeight="1">
      <c r="A14" s="9" t="s">
        <v>54</v>
      </c>
      <c r="B14" s="9" t="s">
        <v>15</v>
      </c>
      <c r="C14" s="9" t="s">
        <v>79</v>
      </c>
      <c r="D14" s="9" t="s">
        <v>161</v>
      </c>
      <c r="E14" s="9" t="s">
        <v>143</v>
      </c>
      <c r="F14" s="9" t="s">
        <v>143</v>
      </c>
      <c r="G14" s="9" t="s">
        <v>159</v>
      </c>
      <c r="H14" s="9" t="s">
        <v>160</v>
      </c>
    </row>
    <row r="15" spans="1:8" ht="36" customHeight="1">
      <c r="A15" s="9" t="s">
        <v>54</v>
      </c>
      <c r="B15" s="9" t="s">
        <v>15</v>
      </c>
      <c r="C15" s="9" t="s">
        <v>162</v>
      </c>
      <c r="D15" s="9" t="s">
        <v>163</v>
      </c>
      <c r="E15" s="9"/>
      <c r="F15" s="9"/>
      <c r="G15" s="9" t="s">
        <v>159</v>
      </c>
      <c r="H15" s="9" t="s">
        <v>164</v>
      </c>
    </row>
    <row r="16" spans="1:8" ht="36" customHeight="1">
      <c r="A16" s="9" t="s">
        <v>59</v>
      </c>
      <c r="B16" s="9" t="s">
        <v>12</v>
      </c>
      <c r="C16" s="9" t="s">
        <v>124</v>
      </c>
      <c r="D16" s="9" t="s">
        <v>158</v>
      </c>
      <c r="E16" s="9" t="s">
        <v>144</v>
      </c>
      <c r="F16" s="9" t="s">
        <v>144</v>
      </c>
      <c r="G16" s="9" t="s">
        <v>159</v>
      </c>
      <c r="H16" s="9" t="s">
        <v>160</v>
      </c>
    </row>
    <row r="17" spans="1:8" ht="36" customHeight="1">
      <c r="A17" s="9" t="s">
        <v>59</v>
      </c>
      <c r="B17" s="9" t="s">
        <v>12</v>
      </c>
      <c r="C17" s="9" t="s">
        <v>125</v>
      </c>
      <c r="D17" s="9" t="s">
        <v>158</v>
      </c>
      <c r="E17" s="9" t="s">
        <v>137</v>
      </c>
      <c r="F17" s="9" t="s">
        <v>137</v>
      </c>
      <c r="G17" s="9" t="s">
        <v>159</v>
      </c>
      <c r="H17" s="9" t="s">
        <v>160</v>
      </c>
    </row>
    <row r="18" spans="1:8" ht="36" customHeight="1">
      <c r="A18" s="9" t="s">
        <v>59</v>
      </c>
      <c r="B18" s="9" t="s">
        <v>12</v>
      </c>
      <c r="C18" s="9" t="s">
        <v>126</v>
      </c>
      <c r="D18" s="9" t="s">
        <v>158</v>
      </c>
      <c r="E18" s="9" t="s">
        <v>138</v>
      </c>
      <c r="F18" s="9" t="s">
        <v>138</v>
      </c>
      <c r="G18" s="9" t="s">
        <v>159</v>
      </c>
      <c r="H18" s="9" t="s">
        <v>160</v>
      </c>
    </row>
    <row r="19" spans="1:8" ht="36" customHeight="1">
      <c r="A19" s="9" t="s">
        <v>59</v>
      </c>
      <c r="B19" s="9" t="s">
        <v>12</v>
      </c>
      <c r="C19" s="9" t="s">
        <v>61</v>
      </c>
      <c r="D19" s="9" t="s">
        <v>158</v>
      </c>
      <c r="E19" s="9" t="s">
        <v>139</v>
      </c>
      <c r="F19" s="9" t="s">
        <v>165</v>
      </c>
      <c r="G19" s="9" t="s">
        <v>166</v>
      </c>
      <c r="H19" s="9" t="s">
        <v>167</v>
      </c>
    </row>
    <row r="20" spans="1:8" ht="36" customHeight="1">
      <c r="A20" s="9" t="s">
        <v>59</v>
      </c>
      <c r="B20" s="9" t="s">
        <v>12</v>
      </c>
      <c r="C20" s="9" t="s">
        <v>127</v>
      </c>
      <c r="D20" s="9" t="s">
        <v>158</v>
      </c>
      <c r="E20" s="9" t="s">
        <v>140</v>
      </c>
      <c r="F20" s="9" t="s">
        <v>140</v>
      </c>
      <c r="G20" s="9" t="s">
        <v>159</v>
      </c>
      <c r="H20" s="9" t="s">
        <v>160</v>
      </c>
    </row>
    <row r="21" spans="1:8" ht="36" customHeight="1">
      <c r="A21" s="9" t="s">
        <v>59</v>
      </c>
      <c r="B21" s="9" t="s">
        <v>12</v>
      </c>
      <c r="C21" s="9" t="s">
        <v>79</v>
      </c>
      <c r="D21" s="9" t="s">
        <v>161</v>
      </c>
      <c r="E21" s="9" t="s">
        <v>145</v>
      </c>
      <c r="F21" s="9" t="s">
        <v>145</v>
      </c>
      <c r="G21" s="9" t="s">
        <v>159</v>
      </c>
      <c r="H21" s="9" t="s">
        <v>160</v>
      </c>
    </row>
    <row r="22" spans="1:8" ht="36" customHeight="1">
      <c r="A22" s="9" t="s">
        <v>59</v>
      </c>
      <c r="B22" s="9" t="s">
        <v>12</v>
      </c>
      <c r="C22" s="9" t="s">
        <v>162</v>
      </c>
      <c r="D22" s="9" t="s">
        <v>163</v>
      </c>
      <c r="E22" s="9"/>
      <c r="F22" s="9"/>
      <c r="G22" s="9" t="s">
        <v>159</v>
      </c>
      <c r="H22" s="9" t="s">
        <v>164</v>
      </c>
    </row>
    <row r="23" spans="1:8" ht="36" customHeight="1">
      <c r="A23" s="9" t="s">
        <v>66</v>
      </c>
      <c r="B23" s="9" t="s">
        <v>12</v>
      </c>
      <c r="C23" s="9" t="s">
        <v>124</v>
      </c>
      <c r="D23" s="9" t="s">
        <v>158</v>
      </c>
      <c r="E23" s="9" t="s">
        <v>144</v>
      </c>
      <c r="F23" s="9" t="s">
        <v>144</v>
      </c>
      <c r="G23" s="9" t="s">
        <v>159</v>
      </c>
      <c r="H23" s="9" t="s">
        <v>160</v>
      </c>
    </row>
    <row r="24" spans="1:8" ht="36" customHeight="1">
      <c r="A24" s="9" t="s">
        <v>66</v>
      </c>
      <c r="B24" s="9" t="s">
        <v>12</v>
      </c>
      <c r="C24" s="9" t="s">
        <v>125</v>
      </c>
      <c r="D24" s="9" t="s">
        <v>158</v>
      </c>
      <c r="E24" s="9" t="s">
        <v>137</v>
      </c>
      <c r="F24" s="9" t="s">
        <v>137</v>
      </c>
      <c r="G24" s="9" t="s">
        <v>159</v>
      </c>
      <c r="H24" s="9" t="s">
        <v>160</v>
      </c>
    </row>
    <row r="25" spans="1:8" ht="36" customHeight="1">
      <c r="A25" s="9" t="s">
        <v>66</v>
      </c>
      <c r="B25" s="9" t="s">
        <v>12</v>
      </c>
      <c r="C25" s="9" t="s">
        <v>126</v>
      </c>
      <c r="D25" s="9" t="s">
        <v>158</v>
      </c>
      <c r="E25" s="9" t="s">
        <v>146</v>
      </c>
      <c r="F25" s="9" t="s">
        <v>146</v>
      </c>
      <c r="G25" s="9" t="s">
        <v>159</v>
      </c>
      <c r="H25" s="9" t="s">
        <v>160</v>
      </c>
    </row>
    <row r="26" spans="1:8" ht="36" customHeight="1">
      <c r="A26" s="9" t="s">
        <v>66</v>
      </c>
      <c r="B26" s="9" t="s">
        <v>12</v>
      </c>
      <c r="C26" s="9" t="s">
        <v>61</v>
      </c>
      <c r="D26" s="9" t="s">
        <v>158</v>
      </c>
      <c r="E26" s="9" t="s">
        <v>139</v>
      </c>
      <c r="F26" s="9" t="s">
        <v>165</v>
      </c>
      <c r="G26" s="9" t="s">
        <v>166</v>
      </c>
      <c r="H26" s="9" t="s">
        <v>167</v>
      </c>
    </row>
    <row r="27" spans="1:8" ht="36" customHeight="1">
      <c r="A27" s="9" t="s">
        <v>66</v>
      </c>
      <c r="B27" s="9" t="s">
        <v>12</v>
      </c>
      <c r="C27" s="9" t="s">
        <v>127</v>
      </c>
      <c r="D27" s="9" t="s">
        <v>158</v>
      </c>
      <c r="E27" s="9" t="s">
        <v>147</v>
      </c>
      <c r="F27" s="9" t="s">
        <v>147</v>
      </c>
      <c r="G27" s="9" t="s">
        <v>159</v>
      </c>
      <c r="H27" s="9" t="s">
        <v>160</v>
      </c>
    </row>
    <row r="28" spans="1:8" ht="36" customHeight="1">
      <c r="A28" s="9" t="s">
        <v>66</v>
      </c>
      <c r="B28" s="9" t="s">
        <v>12</v>
      </c>
      <c r="C28" s="9" t="s">
        <v>79</v>
      </c>
      <c r="D28" s="9" t="s">
        <v>161</v>
      </c>
      <c r="E28" s="9" t="s">
        <v>148</v>
      </c>
      <c r="F28" s="9" t="s">
        <v>148</v>
      </c>
      <c r="G28" s="9" t="s">
        <v>159</v>
      </c>
      <c r="H28" s="9" t="s">
        <v>160</v>
      </c>
    </row>
    <row r="29" spans="1:8" ht="36" customHeight="1">
      <c r="A29" s="9" t="s">
        <v>66</v>
      </c>
      <c r="B29" s="9" t="s">
        <v>12</v>
      </c>
      <c r="C29" s="9" t="s">
        <v>162</v>
      </c>
      <c r="D29" s="9" t="s">
        <v>163</v>
      </c>
      <c r="E29" s="9" t="s">
        <v>168</v>
      </c>
      <c r="F29" s="9" t="s">
        <v>169</v>
      </c>
      <c r="G29" s="9" t="s">
        <v>170</v>
      </c>
      <c r="H29" s="9" t="s">
        <v>164</v>
      </c>
    </row>
    <row r="30" spans="1:8" ht="36" customHeight="1">
      <c r="A30" s="9" t="s">
        <v>73</v>
      </c>
      <c r="B30" s="9" t="s">
        <v>15</v>
      </c>
      <c r="C30" s="9" t="s">
        <v>124</v>
      </c>
      <c r="D30" s="9" t="s">
        <v>158</v>
      </c>
      <c r="E30" s="9" t="s">
        <v>144</v>
      </c>
      <c r="F30" s="9" t="s">
        <v>144</v>
      </c>
      <c r="G30" s="9" t="s">
        <v>159</v>
      </c>
      <c r="H30" s="9" t="s">
        <v>160</v>
      </c>
    </row>
    <row r="31" spans="1:8" ht="36" customHeight="1">
      <c r="A31" s="9" t="s">
        <v>73</v>
      </c>
      <c r="B31" s="9" t="s">
        <v>15</v>
      </c>
      <c r="C31" s="9" t="s">
        <v>125</v>
      </c>
      <c r="D31" s="9" t="s">
        <v>158</v>
      </c>
      <c r="E31" s="9" t="s">
        <v>137</v>
      </c>
      <c r="F31" s="9" t="s">
        <v>137</v>
      </c>
      <c r="G31" s="9" t="s">
        <v>159</v>
      </c>
      <c r="H31" s="9" t="s">
        <v>160</v>
      </c>
    </row>
    <row r="32" spans="1:8" ht="36" customHeight="1">
      <c r="A32" s="9" t="s">
        <v>73</v>
      </c>
      <c r="B32" s="9" t="s">
        <v>15</v>
      </c>
      <c r="C32" s="9" t="s">
        <v>126</v>
      </c>
      <c r="D32" s="9" t="s">
        <v>158</v>
      </c>
      <c r="E32" s="9" t="s">
        <v>138</v>
      </c>
      <c r="F32" s="9" t="s">
        <v>138</v>
      </c>
      <c r="G32" s="9" t="s">
        <v>159</v>
      </c>
      <c r="H32" s="9" t="s">
        <v>160</v>
      </c>
    </row>
    <row r="33" spans="1:8" ht="36" customHeight="1">
      <c r="A33" s="9" t="s">
        <v>73</v>
      </c>
      <c r="B33" s="9" t="s">
        <v>15</v>
      </c>
      <c r="C33" s="9" t="s">
        <v>61</v>
      </c>
      <c r="D33" s="9" t="s">
        <v>158</v>
      </c>
      <c r="E33" s="9" t="s">
        <v>139</v>
      </c>
      <c r="F33" s="9" t="s">
        <v>139</v>
      </c>
      <c r="G33" s="9" t="s">
        <v>159</v>
      </c>
      <c r="H33" s="9" t="s">
        <v>160</v>
      </c>
    </row>
    <row r="34" spans="1:8" ht="36" customHeight="1">
      <c r="A34" s="9" t="s">
        <v>73</v>
      </c>
      <c r="B34" s="9" t="s">
        <v>15</v>
      </c>
      <c r="C34" s="9" t="s">
        <v>127</v>
      </c>
      <c r="D34" s="9" t="s">
        <v>158</v>
      </c>
      <c r="E34" s="9" t="s">
        <v>140</v>
      </c>
      <c r="F34" s="9" t="s">
        <v>140</v>
      </c>
      <c r="G34" s="9" t="s">
        <v>159</v>
      </c>
      <c r="H34" s="9" t="s">
        <v>160</v>
      </c>
    </row>
    <row r="35" spans="1:8" ht="36" customHeight="1">
      <c r="A35" s="9" t="s">
        <v>73</v>
      </c>
      <c r="B35" s="9" t="s">
        <v>15</v>
      </c>
      <c r="C35" s="9" t="s">
        <v>79</v>
      </c>
      <c r="D35" s="9" t="s">
        <v>161</v>
      </c>
      <c r="E35" s="9" t="s">
        <v>145</v>
      </c>
      <c r="F35" s="9" t="s">
        <v>145</v>
      </c>
      <c r="G35" s="9" t="s">
        <v>159</v>
      </c>
      <c r="H35" s="9" t="s">
        <v>160</v>
      </c>
    </row>
    <row r="36" spans="1:8" ht="36" customHeight="1">
      <c r="A36" s="9" t="s">
        <v>73</v>
      </c>
      <c r="B36" s="9" t="s">
        <v>15</v>
      </c>
      <c r="C36" s="9" t="s">
        <v>162</v>
      </c>
      <c r="D36" s="9" t="s">
        <v>163</v>
      </c>
      <c r="E36" s="9"/>
      <c r="F36" s="9"/>
      <c r="G36" s="9" t="s">
        <v>159</v>
      </c>
      <c r="H36" s="9" t="s">
        <v>164</v>
      </c>
    </row>
    <row r="37" spans="1:8" ht="36" customHeight="1">
      <c r="A37" s="9" t="s">
        <v>77</v>
      </c>
      <c r="B37" s="9" t="s">
        <v>12</v>
      </c>
      <c r="C37" s="9" t="s">
        <v>124</v>
      </c>
      <c r="D37" s="9" t="s">
        <v>158</v>
      </c>
      <c r="E37" s="9" t="s">
        <v>144</v>
      </c>
      <c r="F37" s="9" t="s">
        <v>144</v>
      </c>
      <c r="G37" s="9" t="s">
        <v>159</v>
      </c>
      <c r="H37" s="9" t="s">
        <v>160</v>
      </c>
    </row>
    <row r="38" spans="1:8" ht="36" customHeight="1">
      <c r="A38" s="9" t="s">
        <v>77</v>
      </c>
      <c r="B38" s="9" t="s">
        <v>12</v>
      </c>
      <c r="C38" s="9" t="s">
        <v>125</v>
      </c>
      <c r="D38" s="9" t="s">
        <v>158</v>
      </c>
      <c r="E38" s="9" t="s">
        <v>137</v>
      </c>
      <c r="F38" s="9" t="s">
        <v>137</v>
      </c>
      <c r="G38" s="9" t="s">
        <v>159</v>
      </c>
      <c r="H38" s="9" t="s">
        <v>160</v>
      </c>
    </row>
    <row r="39" spans="1:8" ht="36" customHeight="1">
      <c r="A39" s="9" t="s">
        <v>77</v>
      </c>
      <c r="B39" s="9" t="s">
        <v>12</v>
      </c>
      <c r="C39" s="9" t="s">
        <v>126</v>
      </c>
      <c r="D39" s="9" t="s">
        <v>158</v>
      </c>
      <c r="E39" s="9" t="s">
        <v>146</v>
      </c>
      <c r="F39" s="9" t="s">
        <v>146</v>
      </c>
      <c r="G39" s="9" t="s">
        <v>159</v>
      </c>
      <c r="H39" s="9" t="s">
        <v>160</v>
      </c>
    </row>
    <row r="40" spans="1:8" ht="36" customHeight="1">
      <c r="A40" s="9" t="s">
        <v>77</v>
      </c>
      <c r="B40" s="9" t="s">
        <v>12</v>
      </c>
      <c r="C40" s="9" t="s">
        <v>61</v>
      </c>
      <c r="D40" s="9" t="s">
        <v>158</v>
      </c>
      <c r="E40" s="9" t="s">
        <v>149</v>
      </c>
      <c r="F40" s="9" t="s">
        <v>149</v>
      </c>
      <c r="G40" s="9" t="s">
        <v>159</v>
      </c>
      <c r="H40" s="9" t="s">
        <v>160</v>
      </c>
    </row>
    <row r="41" spans="1:8" ht="36" customHeight="1">
      <c r="A41" s="9" t="s">
        <v>77</v>
      </c>
      <c r="B41" s="9" t="s">
        <v>12</v>
      </c>
      <c r="C41" s="9" t="s">
        <v>127</v>
      </c>
      <c r="D41" s="9" t="s">
        <v>158</v>
      </c>
      <c r="E41" s="9" t="s">
        <v>140</v>
      </c>
      <c r="F41" s="9" t="s">
        <v>140</v>
      </c>
      <c r="G41" s="9" t="s">
        <v>159</v>
      </c>
      <c r="H41" s="9" t="s">
        <v>160</v>
      </c>
    </row>
    <row r="42" spans="1:8" ht="36" customHeight="1">
      <c r="A42" s="9" t="s">
        <v>77</v>
      </c>
      <c r="B42" s="9" t="s">
        <v>12</v>
      </c>
      <c r="C42" s="9" t="s">
        <v>79</v>
      </c>
      <c r="D42" s="9" t="s">
        <v>161</v>
      </c>
      <c r="E42" s="9" t="s">
        <v>171</v>
      </c>
      <c r="F42" s="9" t="s">
        <v>151</v>
      </c>
      <c r="G42" s="9" t="s">
        <v>166</v>
      </c>
      <c r="H42" s="9" t="s">
        <v>167</v>
      </c>
    </row>
    <row r="43" spans="1:8" ht="36" customHeight="1">
      <c r="A43" s="9" t="s">
        <v>77</v>
      </c>
      <c r="B43" s="9" t="s">
        <v>12</v>
      </c>
      <c r="C43" s="9" t="s">
        <v>162</v>
      </c>
      <c r="D43" s="9" t="s">
        <v>163</v>
      </c>
      <c r="E43" s="9" t="s">
        <v>172</v>
      </c>
      <c r="F43" s="9" t="s">
        <v>173</v>
      </c>
      <c r="G43" s="9" t="s">
        <v>170</v>
      </c>
      <c r="H43" s="9" t="s">
        <v>164</v>
      </c>
    </row>
    <row r="44" spans="1:8" ht="36" customHeight="1">
      <c r="A44" s="9" t="s">
        <v>84</v>
      </c>
      <c r="B44" s="9" t="s">
        <v>12</v>
      </c>
      <c r="C44" s="9" t="s">
        <v>124</v>
      </c>
      <c r="D44" s="9" t="s">
        <v>158</v>
      </c>
      <c r="E44" s="9" t="s">
        <v>144</v>
      </c>
      <c r="F44" s="9" t="s">
        <v>144</v>
      </c>
      <c r="G44" s="9" t="s">
        <v>159</v>
      </c>
      <c r="H44" s="9" t="s">
        <v>160</v>
      </c>
    </row>
    <row r="45" spans="1:8" ht="36" customHeight="1">
      <c r="A45" s="9" t="s">
        <v>84</v>
      </c>
      <c r="B45" s="9" t="s">
        <v>12</v>
      </c>
      <c r="C45" s="9" t="s">
        <v>125</v>
      </c>
      <c r="D45" s="9" t="s">
        <v>158</v>
      </c>
      <c r="E45" s="9" t="s">
        <v>137</v>
      </c>
      <c r="F45" s="9" t="s">
        <v>137</v>
      </c>
      <c r="G45" s="9" t="s">
        <v>159</v>
      </c>
      <c r="H45" s="9" t="s">
        <v>160</v>
      </c>
    </row>
    <row r="46" spans="1:8" ht="36" customHeight="1">
      <c r="A46" s="9" t="s">
        <v>84</v>
      </c>
      <c r="B46" s="9" t="s">
        <v>12</v>
      </c>
      <c r="C46" s="9" t="s">
        <v>126</v>
      </c>
      <c r="D46" s="9" t="s">
        <v>158</v>
      </c>
      <c r="E46" s="9" t="s">
        <v>146</v>
      </c>
      <c r="F46" s="9" t="s">
        <v>146</v>
      </c>
      <c r="G46" s="9" t="s">
        <v>159</v>
      </c>
      <c r="H46" s="9" t="s">
        <v>160</v>
      </c>
    </row>
    <row r="47" spans="1:8" ht="36" customHeight="1">
      <c r="A47" s="9" t="s">
        <v>84</v>
      </c>
      <c r="B47" s="9" t="s">
        <v>12</v>
      </c>
      <c r="C47" s="9" t="s">
        <v>61</v>
      </c>
      <c r="D47" s="9" t="s">
        <v>158</v>
      </c>
      <c r="E47" s="9" t="s">
        <v>165</v>
      </c>
      <c r="F47" s="9" t="s">
        <v>149</v>
      </c>
      <c r="G47" s="9" t="s">
        <v>166</v>
      </c>
      <c r="H47" s="9" t="s">
        <v>167</v>
      </c>
    </row>
    <row r="48" spans="1:8" ht="36" customHeight="1">
      <c r="A48" s="9" t="s">
        <v>84</v>
      </c>
      <c r="B48" s="9" t="s">
        <v>12</v>
      </c>
      <c r="C48" s="9" t="s">
        <v>127</v>
      </c>
      <c r="D48" s="9" t="s">
        <v>158</v>
      </c>
      <c r="E48" s="9" t="s">
        <v>147</v>
      </c>
      <c r="F48" s="9" t="s">
        <v>147</v>
      </c>
      <c r="G48" s="9" t="s">
        <v>159</v>
      </c>
      <c r="H48" s="9" t="s">
        <v>160</v>
      </c>
    </row>
    <row r="49" spans="1:8" ht="36" customHeight="1">
      <c r="A49" s="9" t="s">
        <v>84</v>
      </c>
      <c r="B49" s="9" t="s">
        <v>12</v>
      </c>
      <c r="C49" s="9" t="s">
        <v>79</v>
      </c>
      <c r="D49" s="9" t="s">
        <v>161</v>
      </c>
      <c r="E49" s="9" t="s">
        <v>148</v>
      </c>
      <c r="F49" s="9" t="s">
        <v>148</v>
      </c>
      <c r="G49" s="9" t="s">
        <v>159</v>
      </c>
      <c r="H49" s="9" t="s">
        <v>160</v>
      </c>
    </row>
    <row r="50" spans="1:8" ht="36" customHeight="1">
      <c r="A50" s="9" t="s">
        <v>84</v>
      </c>
      <c r="B50" s="9" t="s">
        <v>12</v>
      </c>
      <c r="C50" s="9" t="s">
        <v>162</v>
      </c>
      <c r="D50" s="9" t="s">
        <v>163</v>
      </c>
      <c r="E50" s="9" t="s">
        <v>174</v>
      </c>
      <c r="F50" s="9" t="s">
        <v>175</v>
      </c>
      <c r="G50" s="9" t="s">
        <v>170</v>
      </c>
      <c r="H50" s="9" t="s">
        <v>164</v>
      </c>
    </row>
    <row r="51" spans="1:8" ht="36" customHeight="1">
      <c r="A51" s="9" t="s">
        <v>91</v>
      </c>
      <c r="B51" s="9" t="s">
        <v>12</v>
      </c>
      <c r="C51" s="9" t="s">
        <v>124</v>
      </c>
      <c r="D51" s="9" t="s">
        <v>158</v>
      </c>
      <c r="E51" s="9" t="s">
        <v>136</v>
      </c>
      <c r="F51" s="9" t="s">
        <v>136</v>
      </c>
      <c r="G51" s="9" t="s">
        <v>159</v>
      </c>
      <c r="H51" s="9" t="s">
        <v>160</v>
      </c>
    </row>
    <row r="52" spans="1:8" ht="36" customHeight="1">
      <c r="A52" s="9" t="s">
        <v>91</v>
      </c>
      <c r="B52" s="9" t="s">
        <v>12</v>
      </c>
      <c r="C52" s="9" t="s">
        <v>125</v>
      </c>
      <c r="D52" s="9" t="s">
        <v>158</v>
      </c>
      <c r="E52" s="9" t="s">
        <v>137</v>
      </c>
      <c r="F52" s="9" t="s">
        <v>137</v>
      </c>
      <c r="G52" s="9" t="s">
        <v>159</v>
      </c>
      <c r="H52" s="9" t="s">
        <v>160</v>
      </c>
    </row>
    <row r="53" spans="1:8" ht="36" customHeight="1">
      <c r="A53" s="9" t="s">
        <v>91</v>
      </c>
      <c r="B53" s="9" t="s">
        <v>12</v>
      </c>
      <c r="C53" s="9" t="s">
        <v>126</v>
      </c>
      <c r="D53" s="9" t="s">
        <v>158</v>
      </c>
      <c r="E53" s="9" t="s">
        <v>138</v>
      </c>
      <c r="F53" s="9" t="s">
        <v>138</v>
      </c>
      <c r="G53" s="9" t="s">
        <v>159</v>
      </c>
      <c r="H53" s="9" t="s">
        <v>160</v>
      </c>
    </row>
    <row r="54" spans="1:8" ht="36" customHeight="1">
      <c r="A54" s="9" t="s">
        <v>91</v>
      </c>
      <c r="B54" s="9" t="s">
        <v>12</v>
      </c>
      <c r="C54" s="9" t="s">
        <v>61</v>
      </c>
      <c r="D54" s="9" t="s">
        <v>158</v>
      </c>
      <c r="E54" s="9" t="s">
        <v>165</v>
      </c>
      <c r="F54" s="9" t="s">
        <v>149</v>
      </c>
      <c r="G54" s="9" t="s">
        <v>166</v>
      </c>
      <c r="H54" s="9" t="s">
        <v>167</v>
      </c>
    </row>
    <row r="55" spans="1:8" ht="36" customHeight="1">
      <c r="A55" s="9" t="s">
        <v>91</v>
      </c>
      <c r="B55" s="9" t="s">
        <v>12</v>
      </c>
      <c r="C55" s="9" t="s">
        <v>127</v>
      </c>
      <c r="D55" s="9" t="s">
        <v>158</v>
      </c>
      <c r="E55" s="9" t="s">
        <v>140</v>
      </c>
      <c r="F55" s="9" t="s">
        <v>140</v>
      </c>
      <c r="G55" s="9" t="s">
        <v>159</v>
      </c>
      <c r="H55" s="9" t="s">
        <v>160</v>
      </c>
    </row>
    <row r="56" spans="1:8" ht="36" customHeight="1">
      <c r="A56" s="9" t="s">
        <v>91</v>
      </c>
      <c r="B56" s="9" t="s">
        <v>12</v>
      </c>
      <c r="C56" s="9" t="s">
        <v>79</v>
      </c>
      <c r="D56" s="9" t="s">
        <v>161</v>
      </c>
      <c r="E56" s="9" t="s">
        <v>141</v>
      </c>
      <c r="F56" s="9" t="s">
        <v>141</v>
      </c>
      <c r="G56" s="9" t="s">
        <v>159</v>
      </c>
      <c r="H56" s="9" t="s">
        <v>160</v>
      </c>
    </row>
    <row r="57" spans="1:8" ht="36" customHeight="1">
      <c r="A57" s="9" t="s">
        <v>91</v>
      </c>
      <c r="B57" s="9" t="s">
        <v>12</v>
      </c>
      <c r="C57" s="9" t="s">
        <v>162</v>
      </c>
      <c r="D57" s="9" t="s">
        <v>163</v>
      </c>
      <c r="E57" s="9"/>
      <c r="F57" s="9" t="s">
        <v>176</v>
      </c>
      <c r="G57" s="9" t="s">
        <v>170</v>
      </c>
      <c r="H57" s="9" t="s">
        <v>164</v>
      </c>
    </row>
    <row r="58" spans="1:8" ht="36" customHeight="1">
      <c r="A58" s="9" t="s">
        <v>98</v>
      </c>
      <c r="B58" s="9" t="s">
        <v>12</v>
      </c>
      <c r="C58" s="9" t="s">
        <v>124</v>
      </c>
      <c r="D58" s="9" t="s">
        <v>158</v>
      </c>
      <c r="E58" s="9" t="s">
        <v>144</v>
      </c>
      <c r="F58" s="9" t="s">
        <v>144</v>
      </c>
      <c r="G58" s="9" t="s">
        <v>159</v>
      </c>
      <c r="H58" s="9" t="s">
        <v>160</v>
      </c>
    </row>
    <row r="59" spans="1:8" ht="36" customHeight="1">
      <c r="A59" s="9" t="s">
        <v>98</v>
      </c>
      <c r="B59" s="9" t="s">
        <v>12</v>
      </c>
      <c r="C59" s="9" t="s">
        <v>125</v>
      </c>
      <c r="D59" s="9" t="s">
        <v>158</v>
      </c>
      <c r="E59" s="9" t="s">
        <v>150</v>
      </c>
      <c r="F59" s="9" t="s">
        <v>150</v>
      </c>
      <c r="G59" s="9" t="s">
        <v>159</v>
      </c>
      <c r="H59" s="9" t="s">
        <v>160</v>
      </c>
    </row>
    <row r="60" spans="1:8" ht="36" customHeight="1">
      <c r="A60" s="9" t="s">
        <v>98</v>
      </c>
      <c r="B60" s="9" t="s">
        <v>12</v>
      </c>
      <c r="C60" s="9" t="s">
        <v>126</v>
      </c>
      <c r="D60" s="9" t="s">
        <v>158</v>
      </c>
      <c r="E60" s="9" t="s">
        <v>146</v>
      </c>
      <c r="F60" s="9" t="s">
        <v>177</v>
      </c>
      <c r="G60" s="9" t="s">
        <v>166</v>
      </c>
      <c r="H60" s="9" t="s">
        <v>167</v>
      </c>
    </row>
    <row r="61" spans="1:8" ht="36" customHeight="1">
      <c r="A61" s="9" t="s">
        <v>98</v>
      </c>
      <c r="B61" s="9" t="s">
        <v>12</v>
      </c>
      <c r="C61" s="9" t="s">
        <v>61</v>
      </c>
      <c r="D61" s="9" t="s">
        <v>158</v>
      </c>
      <c r="E61" s="9" t="s">
        <v>139</v>
      </c>
      <c r="F61" s="9" t="s">
        <v>165</v>
      </c>
      <c r="G61" s="9" t="s">
        <v>166</v>
      </c>
      <c r="H61" s="9" t="s">
        <v>167</v>
      </c>
    </row>
    <row r="62" spans="1:8" ht="36" customHeight="1">
      <c r="A62" s="9" t="s">
        <v>98</v>
      </c>
      <c r="B62" s="9" t="s">
        <v>12</v>
      </c>
      <c r="C62" s="9" t="s">
        <v>127</v>
      </c>
      <c r="D62" s="9" t="s">
        <v>158</v>
      </c>
      <c r="E62" s="9" t="s">
        <v>140</v>
      </c>
      <c r="F62" s="9" t="s">
        <v>140</v>
      </c>
      <c r="G62" s="9" t="s">
        <v>159</v>
      </c>
      <c r="H62" s="9" t="s">
        <v>160</v>
      </c>
    </row>
    <row r="63" spans="1:8" ht="36" customHeight="1">
      <c r="A63" s="9" t="s">
        <v>98</v>
      </c>
      <c r="B63" s="9" t="s">
        <v>12</v>
      </c>
      <c r="C63" s="9" t="s">
        <v>79</v>
      </c>
      <c r="D63" s="9" t="s">
        <v>161</v>
      </c>
      <c r="E63" s="9" t="s">
        <v>151</v>
      </c>
      <c r="F63" s="9" t="s">
        <v>151</v>
      </c>
      <c r="G63" s="9" t="s">
        <v>159</v>
      </c>
      <c r="H63" s="9" t="s">
        <v>160</v>
      </c>
    </row>
    <row r="64" spans="1:8" ht="36" customHeight="1">
      <c r="A64" s="9" t="s">
        <v>98</v>
      </c>
      <c r="B64" s="9" t="s">
        <v>12</v>
      </c>
      <c r="C64" s="9" t="s">
        <v>162</v>
      </c>
      <c r="D64" s="9" t="s">
        <v>163</v>
      </c>
      <c r="E64" s="9" t="s">
        <v>178</v>
      </c>
      <c r="F64" s="9" t="s">
        <v>179</v>
      </c>
      <c r="G64" s="9" t="s">
        <v>170</v>
      </c>
      <c r="H64" s="9" t="s">
        <v>164</v>
      </c>
    </row>
    <row r="65" spans="1:8" ht="36" customHeight="1">
      <c r="A65" s="9" t="s">
        <v>106</v>
      </c>
      <c r="B65" s="9" t="s">
        <v>12</v>
      </c>
      <c r="C65" s="9" t="s">
        <v>124</v>
      </c>
      <c r="D65" s="9" t="s">
        <v>158</v>
      </c>
      <c r="E65" s="9" t="s">
        <v>142</v>
      </c>
      <c r="F65" s="9" t="s">
        <v>142</v>
      </c>
      <c r="G65" s="9" t="s">
        <v>159</v>
      </c>
      <c r="H65" s="9" t="s">
        <v>160</v>
      </c>
    </row>
    <row r="66" spans="1:8" ht="36" customHeight="1">
      <c r="A66" s="9" t="s">
        <v>106</v>
      </c>
      <c r="B66" s="9" t="s">
        <v>12</v>
      </c>
      <c r="C66" s="9" t="s">
        <v>125</v>
      </c>
      <c r="D66" s="9" t="s">
        <v>158</v>
      </c>
      <c r="E66" s="9" t="s">
        <v>180</v>
      </c>
      <c r="F66" s="9" t="s">
        <v>137</v>
      </c>
      <c r="G66" s="9" t="s">
        <v>166</v>
      </c>
      <c r="H66" s="9" t="s">
        <v>167</v>
      </c>
    </row>
    <row r="67" spans="1:8" ht="36" customHeight="1">
      <c r="A67" s="9" t="s">
        <v>106</v>
      </c>
      <c r="B67" s="9" t="s">
        <v>12</v>
      </c>
      <c r="C67" s="9" t="s">
        <v>126</v>
      </c>
      <c r="D67" s="9" t="s">
        <v>158</v>
      </c>
      <c r="E67" s="9" t="s">
        <v>146</v>
      </c>
      <c r="F67" s="9" t="s">
        <v>146</v>
      </c>
      <c r="G67" s="9" t="s">
        <v>159</v>
      </c>
      <c r="H67" s="9" t="s">
        <v>160</v>
      </c>
    </row>
    <row r="68" spans="1:8" ht="36" customHeight="1">
      <c r="A68" s="9" t="s">
        <v>106</v>
      </c>
      <c r="B68" s="9" t="s">
        <v>12</v>
      </c>
      <c r="C68" s="9" t="s">
        <v>61</v>
      </c>
      <c r="D68" s="9" t="s">
        <v>158</v>
      </c>
      <c r="E68" s="9" t="s">
        <v>139</v>
      </c>
      <c r="F68" s="9" t="s">
        <v>139</v>
      </c>
      <c r="G68" s="9" t="s">
        <v>159</v>
      </c>
      <c r="H68" s="9" t="s">
        <v>160</v>
      </c>
    </row>
    <row r="69" spans="1:8" ht="36" customHeight="1">
      <c r="A69" s="9" t="s">
        <v>106</v>
      </c>
      <c r="B69" s="9" t="s">
        <v>12</v>
      </c>
      <c r="C69" s="9" t="s">
        <v>127</v>
      </c>
      <c r="D69" s="9" t="s">
        <v>158</v>
      </c>
      <c r="E69" s="9" t="s">
        <v>140</v>
      </c>
      <c r="F69" s="9" t="s">
        <v>140</v>
      </c>
      <c r="G69" s="9" t="s">
        <v>159</v>
      </c>
      <c r="H69" s="9" t="s">
        <v>160</v>
      </c>
    </row>
    <row r="70" spans="1:8" ht="36" customHeight="1">
      <c r="A70" s="9" t="s">
        <v>106</v>
      </c>
      <c r="B70" s="9" t="s">
        <v>12</v>
      </c>
      <c r="C70" s="9" t="s">
        <v>79</v>
      </c>
      <c r="D70" s="9" t="s">
        <v>161</v>
      </c>
      <c r="E70" s="9" t="s">
        <v>151</v>
      </c>
      <c r="F70" s="9" t="s">
        <v>181</v>
      </c>
      <c r="G70" s="9" t="s">
        <v>166</v>
      </c>
      <c r="H70" s="9" t="s">
        <v>167</v>
      </c>
    </row>
    <row r="71" spans="1:8" ht="36" customHeight="1">
      <c r="A71" s="9" t="s">
        <v>106</v>
      </c>
      <c r="B71" s="9" t="s">
        <v>12</v>
      </c>
      <c r="C71" s="9" t="s">
        <v>162</v>
      </c>
      <c r="D71" s="9" t="s">
        <v>163</v>
      </c>
      <c r="E71" s="9" t="s">
        <v>182</v>
      </c>
      <c r="F71" s="9" t="s">
        <v>183</v>
      </c>
      <c r="G71" s="9" t="s">
        <v>170</v>
      </c>
      <c r="H71" s="9" t="s">
        <v>164</v>
      </c>
    </row>
    <row r="72" spans="1:8" ht="36" customHeight="1">
      <c r="A72" s="9" t="s">
        <v>113</v>
      </c>
      <c r="B72" s="9" t="s">
        <v>12</v>
      </c>
      <c r="C72" s="9" t="s">
        <v>124</v>
      </c>
      <c r="D72" s="9" t="s">
        <v>158</v>
      </c>
      <c r="E72" s="9" t="s">
        <v>144</v>
      </c>
      <c r="F72" s="9" t="s">
        <v>144</v>
      </c>
      <c r="G72" s="9" t="s">
        <v>159</v>
      </c>
      <c r="H72" s="9" t="s">
        <v>160</v>
      </c>
    </row>
    <row r="73" spans="1:8" ht="36" customHeight="1">
      <c r="A73" s="9" t="s">
        <v>113</v>
      </c>
      <c r="B73" s="9" t="s">
        <v>12</v>
      </c>
      <c r="C73" s="9" t="s">
        <v>125</v>
      </c>
      <c r="D73" s="9" t="s">
        <v>158</v>
      </c>
      <c r="E73" s="9" t="s">
        <v>137</v>
      </c>
      <c r="F73" s="9" t="s">
        <v>137</v>
      </c>
      <c r="G73" s="9" t="s">
        <v>159</v>
      </c>
      <c r="H73" s="9" t="s">
        <v>160</v>
      </c>
    </row>
    <row r="74" spans="1:8" ht="36" customHeight="1">
      <c r="A74" s="9" t="s">
        <v>113</v>
      </c>
      <c r="B74" s="9" t="s">
        <v>12</v>
      </c>
      <c r="C74" s="9" t="s">
        <v>126</v>
      </c>
      <c r="D74" s="9" t="s">
        <v>158</v>
      </c>
      <c r="E74" s="9" t="s">
        <v>146</v>
      </c>
      <c r="F74" s="9" t="s">
        <v>146</v>
      </c>
      <c r="G74" s="9" t="s">
        <v>159</v>
      </c>
      <c r="H74" s="9" t="s">
        <v>160</v>
      </c>
    </row>
    <row r="75" spans="1:8" ht="36" customHeight="1">
      <c r="A75" s="9" t="s">
        <v>113</v>
      </c>
      <c r="B75" s="9" t="s">
        <v>12</v>
      </c>
      <c r="C75" s="9" t="s">
        <v>61</v>
      </c>
      <c r="D75" s="9" t="s">
        <v>158</v>
      </c>
      <c r="E75" s="9" t="s">
        <v>149</v>
      </c>
      <c r="F75" s="9" t="s">
        <v>149</v>
      </c>
      <c r="G75" s="9" t="s">
        <v>159</v>
      </c>
      <c r="H75" s="9" t="s">
        <v>160</v>
      </c>
    </row>
    <row r="76" spans="1:8" ht="36" customHeight="1">
      <c r="A76" s="9" t="s">
        <v>113</v>
      </c>
      <c r="B76" s="9" t="s">
        <v>12</v>
      </c>
      <c r="C76" s="9" t="s">
        <v>127</v>
      </c>
      <c r="D76" s="9" t="s">
        <v>158</v>
      </c>
      <c r="E76" s="9" t="s">
        <v>140</v>
      </c>
      <c r="F76" s="9" t="s">
        <v>140</v>
      </c>
      <c r="G76" s="9" t="s">
        <v>159</v>
      </c>
      <c r="H76" s="9" t="s">
        <v>160</v>
      </c>
    </row>
    <row r="77" spans="1:8" ht="36" customHeight="1">
      <c r="A77" s="9" t="s">
        <v>113</v>
      </c>
      <c r="B77" s="9" t="s">
        <v>12</v>
      </c>
      <c r="C77" s="9" t="s">
        <v>79</v>
      </c>
      <c r="D77" s="9" t="s">
        <v>161</v>
      </c>
      <c r="E77" s="9" t="s">
        <v>171</v>
      </c>
      <c r="F77" s="9" t="s">
        <v>151</v>
      </c>
      <c r="G77" s="9" t="s">
        <v>166</v>
      </c>
      <c r="H77" s="9" t="s">
        <v>167</v>
      </c>
    </row>
    <row r="78" spans="1:8" ht="36" customHeight="1">
      <c r="A78" s="9" t="s">
        <v>113</v>
      </c>
      <c r="B78" s="9" t="s">
        <v>12</v>
      </c>
      <c r="C78" s="9" t="s">
        <v>162</v>
      </c>
      <c r="D78" s="9" t="s">
        <v>163</v>
      </c>
      <c r="E78" s="9" t="s">
        <v>184</v>
      </c>
      <c r="F78" s="9" t="s">
        <v>185</v>
      </c>
      <c r="G78" s="9" t="s">
        <v>170</v>
      </c>
      <c r="H78" s="9" t="s">
        <v>164</v>
      </c>
    </row>
    <row r="79" spans="1:8" ht="36" customHeight="1">
      <c r="A79" s="9" t="s">
        <v>119</v>
      </c>
      <c r="B79" s="9" t="s">
        <v>12</v>
      </c>
      <c r="C79" s="9" t="s">
        <v>124</v>
      </c>
      <c r="D79" s="9" t="s">
        <v>158</v>
      </c>
      <c r="E79" s="9" t="s">
        <v>144</v>
      </c>
      <c r="F79" s="9" t="s">
        <v>144</v>
      </c>
      <c r="G79" s="9" t="s">
        <v>159</v>
      </c>
      <c r="H79" s="9" t="s">
        <v>160</v>
      </c>
    </row>
    <row r="80" spans="1:8" ht="36" customHeight="1">
      <c r="A80" s="9" t="s">
        <v>119</v>
      </c>
      <c r="B80" s="9" t="s">
        <v>12</v>
      </c>
      <c r="C80" s="9" t="s">
        <v>125</v>
      </c>
      <c r="D80" s="9" t="s">
        <v>158</v>
      </c>
      <c r="E80" s="9" t="s">
        <v>137</v>
      </c>
      <c r="F80" s="9" t="s">
        <v>137</v>
      </c>
      <c r="G80" s="9" t="s">
        <v>159</v>
      </c>
      <c r="H80" s="9" t="s">
        <v>160</v>
      </c>
    </row>
    <row r="81" spans="1:8" ht="36" customHeight="1">
      <c r="A81" s="9" t="s">
        <v>119</v>
      </c>
      <c r="B81" s="9" t="s">
        <v>12</v>
      </c>
      <c r="C81" s="9" t="s">
        <v>126</v>
      </c>
      <c r="D81" s="9" t="s">
        <v>158</v>
      </c>
      <c r="E81" s="9" t="s">
        <v>146</v>
      </c>
      <c r="F81" s="9" t="s">
        <v>146</v>
      </c>
      <c r="G81" s="9" t="s">
        <v>159</v>
      </c>
      <c r="H81" s="9" t="s">
        <v>160</v>
      </c>
    </row>
    <row r="82" spans="1:8" ht="36" customHeight="1">
      <c r="A82" s="9" t="s">
        <v>119</v>
      </c>
      <c r="B82" s="9" t="s">
        <v>12</v>
      </c>
      <c r="C82" s="9" t="s">
        <v>61</v>
      </c>
      <c r="D82" s="9" t="s">
        <v>158</v>
      </c>
      <c r="E82" s="9" t="s">
        <v>139</v>
      </c>
      <c r="F82" s="9" t="s">
        <v>139</v>
      </c>
      <c r="G82" s="9" t="s">
        <v>159</v>
      </c>
      <c r="H82" s="9" t="s">
        <v>160</v>
      </c>
    </row>
    <row r="83" spans="1:8" ht="36" customHeight="1">
      <c r="A83" s="9" t="s">
        <v>119</v>
      </c>
      <c r="B83" s="9" t="s">
        <v>12</v>
      </c>
      <c r="C83" s="9" t="s">
        <v>127</v>
      </c>
      <c r="D83" s="9" t="s">
        <v>158</v>
      </c>
      <c r="E83" s="9" t="s">
        <v>140</v>
      </c>
      <c r="F83" s="9" t="s">
        <v>140</v>
      </c>
      <c r="G83" s="9" t="s">
        <v>159</v>
      </c>
      <c r="H83" s="9" t="s">
        <v>160</v>
      </c>
    </row>
    <row r="84" spans="1:8" ht="36" customHeight="1">
      <c r="A84" s="9" t="s">
        <v>119</v>
      </c>
      <c r="B84" s="9" t="s">
        <v>12</v>
      </c>
      <c r="C84" s="9" t="s">
        <v>79</v>
      </c>
      <c r="D84" s="9" t="s">
        <v>161</v>
      </c>
      <c r="E84" s="9" t="s">
        <v>171</v>
      </c>
      <c r="F84" s="9" t="s">
        <v>151</v>
      </c>
      <c r="G84" s="9" t="s">
        <v>166</v>
      </c>
      <c r="H84" s="9" t="s">
        <v>167</v>
      </c>
    </row>
    <row r="85" spans="1:8" ht="36" customHeight="1">
      <c r="A85" s="10" t="s">
        <v>119</v>
      </c>
      <c r="B85" s="10" t="s">
        <v>12</v>
      </c>
      <c r="C85" s="10" t="s">
        <v>162</v>
      </c>
      <c r="D85" s="10" t="s">
        <v>163</v>
      </c>
      <c r="E85" s="10" t="s">
        <v>186</v>
      </c>
      <c r="F85" s="10" t="s">
        <v>187</v>
      </c>
      <c r="G85" s="10" t="s">
        <v>170</v>
      </c>
      <c r="H85" s="10" t="s">
        <v>164</v>
      </c>
    </row>
  </sheetData>
  <phoneticPr fontId="9" type="noConversion"/>
  <conditionalFormatting sqref="G2:G85">
    <cfRule type="containsText" dxfId="0" priority="1" operator="containsText" text="分歧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5"/>
  <sheetViews>
    <sheetView showGridLines="0" workbookViewId="0"/>
  </sheetViews>
  <sheetFormatPr defaultRowHeight="14"/>
  <cols>
    <col min="1" max="2" width="16" customWidth="1"/>
    <col min="3" max="3" width="13" customWidth="1"/>
    <col min="4" max="4" width="24" customWidth="1"/>
    <col min="5" max="5" width="20" customWidth="1"/>
    <col min="6" max="6" width="24" customWidth="1"/>
    <col min="7" max="7" width="25" customWidth="1"/>
    <col min="8" max="8" width="21" customWidth="1"/>
    <col min="9" max="9" width="18" customWidth="1"/>
    <col min="10" max="10" width="34" customWidth="1"/>
    <col min="11" max="11" width="28" customWidth="1"/>
    <col min="12" max="13" width="30" customWidth="1"/>
    <col min="14" max="14" width="24" customWidth="1"/>
    <col min="15" max="15" width="58" customWidth="1"/>
    <col min="16" max="16" width="18" customWidth="1"/>
    <col min="17" max="17" width="28" customWidth="1"/>
  </cols>
  <sheetData>
    <row r="1" spans="1:17" ht="32" customHeight="1">
      <c r="A1" s="1" t="s">
        <v>37</v>
      </c>
      <c r="B1" s="7" t="s">
        <v>38</v>
      </c>
      <c r="C1" s="7" t="s">
        <v>188</v>
      </c>
      <c r="D1" s="7" t="s">
        <v>189</v>
      </c>
      <c r="E1" s="7" t="s">
        <v>124</v>
      </c>
      <c r="F1" s="7" t="s">
        <v>125</v>
      </c>
      <c r="G1" s="7" t="s">
        <v>126</v>
      </c>
      <c r="H1" s="7" t="s">
        <v>61</v>
      </c>
      <c r="I1" s="7" t="s">
        <v>127</v>
      </c>
      <c r="J1" s="7" t="s">
        <v>162</v>
      </c>
      <c r="K1" s="7" t="s">
        <v>79</v>
      </c>
      <c r="L1" s="7" t="s">
        <v>190</v>
      </c>
      <c r="M1" s="7" t="s">
        <v>191</v>
      </c>
      <c r="N1" s="7" t="s">
        <v>192</v>
      </c>
      <c r="O1" s="7" t="s">
        <v>193</v>
      </c>
      <c r="P1" s="7" t="s">
        <v>194</v>
      </c>
      <c r="Q1" s="2" t="s">
        <v>195</v>
      </c>
    </row>
    <row r="2" spans="1:17" ht="56" customHeight="1">
      <c r="A2" s="8" t="s">
        <v>47</v>
      </c>
      <c r="B2" s="8" t="s">
        <v>15</v>
      </c>
      <c r="C2" s="8" t="s">
        <v>154</v>
      </c>
      <c r="D2" s="8" t="s">
        <v>7</v>
      </c>
      <c r="E2" s="8" t="s">
        <v>136</v>
      </c>
      <c r="F2" s="8" t="s">
        <v>137</v>
      </c>
      <c r="G2" s="8" t="s">
        <v>138</v>
      </c>
      <c r="H2" s="8" t="s">
        <v>139</v>
      </c>
      <c r="I2" s="8" t="s">
        <v>140</v>
      </c>
      <c r="J2" s="8"/>
      <c r="K2" s="8" t="s">
        <v>141</v>
      </c>
      <c r="L2" s="8"/>
      <c r="M2" s="8"/>
      <c r="N2" s="8"/>
      <c r="O2" s="8" t="s">
        <v>51</v>
      </c>
      <c r="P2" s="8" t="s">
        <v>196</v>
      </c>
      <c r="Q2" s="8"/>
    </row>
    <row r="3" spans="1:17" ht="56" customHeight="1">
      <c r="A3" s="9" t="s">
        <v>47</v>
      </c>
      <c r="B3" s="9" t="s">
        <v>15</v>
      </c>
      <c r="C3" s="9" t="s">
        <v>155</v>
      </c>
      <c r="D3" s="9" t="s">
        <v>10</v>
      </c>
      <c r="E3" s="9" t="s">
        <v>136</v>
      </c>
      <c r="F3" s="9" t="s">
        <v>137</v>
      </c>
      <c r="G3" s="9" t="s">
        <v>138</v>
      </c>
      <c r="H3" s="9" t="s">
        <v>139</v>
      </c>
      <c r="I3" s="9" t="s">
        <v>140</v>
      </c>
      <c r="J3" s="9"/>
      <c r="K3" s="9" t="s">
        <v>141</v>
      </c>
      <c r="L3" s="9"/>
      <c r="M3" s="9"/>
      <c r="N3" s="9" t="s">
        <v>197</v>
      </c>
      <c r="O3" s="9" t="s">
        <v>52</v>
      </c>
      <c r="P3" s="9" t="s">
        <v>196</v>
      </c>
      <c r="Q3" s="9"/>
    </row>
    <row r="4" spans="1:17" ht="56" customHeight="1">
      <c r="A4" s="9" t="s">
        <v>54</v>
      </c>
      <c r="B4" s="9" t="s">
        <v>15</v>
      </c>
      <c r="C4" s="9" t="s">
        <v>154</v>
      </c>
      <c r="D4" s="9" t="s">
        <v>7</v>
      </c>
      <c r="E4" s="9" t="s">
        <v>142</v>
      </c>
      <c r="F4" s="9" t="s">
        <v>137</v>
      </c>
      <c r="G4" s="9" t="s">
        <v>138</v>
      </c>
      <c r="H4" s="9" t="s">
        <v>139</v>
      </c>
      <c r="I4" s="9" t="s">
        <v>140</v>
      </c>
      <c r="J4" s="9"/>
      <c r="K4" s="9" t="s">
        <v>143</v>
      </c>
      <c r="L4" s="9" t="s">
        <v>198</v>
      </c>
      <c r="M4" s="9"/>
      <c r="N4" s="9" t="s">
        <v>197</v>
      </c>
      <c r="O4" s="9" t="s">
        <v>57</v>
      </c>
      <c r="P4" s="9" t="s">
        <v>196</v>
      </c>
      <c r="Q4" s="9"/>
    </row>
    <row r="5" spans="1:17" ht="56" customHeight="1">
      <c r="A5" s="9" t="s">
        <v>54</v>
      </c>
      <c r="B5" s="9" t="s">
        <v>15</v>
      </c>
      <c r="C5" s="9" t="s">
        <v>155</v>
      </c>
      <c r="D5" s="9" t="s">
        <v>10</v>
      </c>
      <c r="E5" s="9" t="s">
        <v>142</v>
      </c>
      <c r="F5" s="9" t="s">
        <v>137</v>
      </c>
      <c r="G5" s="9" t="s">
        <v>138</v>
      </c>
      <c r="H5" s="9" t="s">
        <v>139</v>
      </c>
      <c r="I5" s="9" t="s">
        <v>140</v>
      </c>
      <c r="J5" s="9"/>
      <c r="K5" s="9" t="s">
        <v>143</v>
      </c>
      <c r="L5" s="9" t="s">
        <v>199</v>
      </c>
      <c r="M5" s="9"/>
      <c r="N5" s="9" t="s">
        <v>197</v>
      </c>
      <c r="O5" s="9" t="s">
        <v>58</v>
      </c>
      <c r="P5" s="9" t="s">
        <v>196</v>
      </c>
      <c r="Q5" s="9"/>
    </row>
    <row r="6" spans="1:17" ht="56" customHeight="1">
      <c r="A6" s="9" t="s">
        <v>59</v>
      </c>
      <c r="B6" s="9" t="s">
        <v>12</v>
      </c>
      <c r="C6" s="9" t="s">
        <v>154</v>
      </c>
      <c r="D6" s="9" t="s">
        <v>7</v>
      </c>
      <c r="E6" s="9" t="s">
        <v>144</v>
      </c>
      <c r="F6" s="9" t="s">
        <v>137</v>
      </c>
      <c r="G6" s="9" t="s">
        <v>138</v>
      </c>
      <c r="H6" s="9" t="s">
        <v>139</v>
      </c>
      <c r="I6" s="9" t="s">
        <v>140</v>
      </c>
      <c r="J6" s="9"/>
      <c r="K6" s="9" t="s">
        <v>145</v>
      </c>
      <c r="L6" s="9" t="s">
        <v>200</v>
      </c>
      <c r="M6" s="9"/>
      <c r="N6" s="9" t="s">
        <v>197</v>
      </c>
      <c r="O6" s="9" t="s">
        <v>63</v>
      </c>
      <c r="P6" s="9" t="s">
        <v>196</v>
      </c>
      <c r="Q6" s="9"/>
    </row>
    <row r="7" spans="1:17" ht="56" customHeight="1">
      <c r="A7" s="9" t="s">
        <v>59</v>
      </c>
      <c r="B7" s="9" t="s">
        <v>12</v>
      </c>
      <c r="C7" s="9" t="s">
        <v>155</v>
      </c>
      <c r="D7" s="9" t="s">
        <v>10</v>
      </c>
      <c r="E7" s="9" t="s">
        <v>144</v>
      </c>
      <c r="F7" s="9" t="s">
        <v>137</v>
      </c>
      <c r="G7" s="9" t="s">
        <v>138</v>
      </c>
      <c r="H7" s="9" t="s">
        <v>165</v>
      </c>
      <c r="I7" s="9" t="s">
        <v>140</v>
      </c>
      <c r="J7" s="9"/>
      <c r="K7" s="9" t="s">
        <v>145</v>
      </c>
      <c r="L7" s="9" t="s">
        <v>201</v>
      </c>
      <c r="M7" s="9"/>
      <c r="N7" s="9" t="s">
        <v>197</v>
      </c>
      <c r="O7" s="9" t="s">
        <v>64</v>
      </c>
      <c r="P7" s="9" t="s">
        <v>202</v>
      </c>
      <c r="Q7" s="9"/>
    </row>
    <row r="8" spans="1:17" ht="56" customHeight="1">
      <c r="A8" s="9" t="s">
        <v>66</v>
      </c>
      <c r="B8" s="9" t="s">
        <v>12</v>
      </c>
      <c r="C8" s="9" t="s">
        <v>154</v>
      </c>
      <c r="D8" s="9" t="s">
        <v>7</v>
      </c>
      <c r="E8" s="9" t="s">
        <v>144</v>
      </c>
      <c r="F8" s="9" t="s">
        <v>137</v>
      </c>
      <c r="G8" s="9" t="s">
        <v>146</v>
      </c>
      <c r="H8" s="9" t="s">
        <v>139</v>
      </c>
      <c r="I8" s="9" t="s">
        <v>147</v>
      </c>
      <c r="J8" s="9" t="s">
        <v>168</v>
      </c>
      <c r="K8" s="9" t="s">
        <v>148</v>
      </c>
      <c r="L8" s="9" t="s">
        <v>203</v>
      </c>
      <c r="M8" s="9" t="s">
        <v>204</v>
      </c>
      <c r="N8" s="9" t="s">
        <v>197</v>
      </c>
      <c r="O8" s="9" t="s">
        <v>71</v>
      </c>
      <c r="P8" s="9" t="s">
        <v>196</v>
      </c>
      <c r="Q8" s="9"/>
    </row>
    <row r="9" spans="1:17" ht="56" customHeight="1">
      <c r="A9" s="9" t="s">
        <v>66</v>
      </c>
      <c r="B9" s="9" t="s">
        <v>12</v>
      </c>
      <c r="C9" s="9" t="s">
        <v>155</v>
      </c>
      <c r="D9" s="9" t="s">
        <v>10</v>
      </c>
      <c r="E9" s="9" t="s">
        <v>144</v>
      </c>
      <c r="F9" s="9" t="s">
        <v>137</v>
      </c>
      <c r="G9" s="9" t="s">
        <v>146</v>
      </c>
      <c r="H9" s="9" t="s">
        <v>165</v>
      </c>
      <c r="I9" s="9" t="s">
        <v>147</v>
      </c>
      <c r="J9" s="9" t="s">
        <v>169</v>
      </c>
      <c r="K9" s="9" t="s">
        <v>148</v>
      </c>
      <c r="L9" s="9" t="s">
        <v>205</v>
      </c>
      <c r="M9" s="9" t="s">
        <v>206</v>
      </c>
      <c r="N9" s="9" t="s">
        <v>197</v>
      </c>
      <c r="O9" s="9" t="s">
        <v>72</v>
      </c>
      <c r="P9" s="9" t="s">
        <v>196</v>
      </c>
      <c r="Q9" s="9"/>
    </row>
    <row r="10" spans="1:17" ht="56" customHeight="1">
      <c r="A10" s="9" t="s">
        <v>73</v>
      </c>
      <c r="B10" s="9" t="s">
        <v>15</v>
      </c>
      <c r="C10" s="9" t="s">
        <v>154</v>
      </c>
      <c r="D10" s="9" t="s">
        <v>7</v>
      </c>
      <c r="E10" s="9" t="s">
        <v>144</v>
      </c>
      <c r="F10" s="9" t="s">
        <v>137</v>
      </c>
      <c r="G10" s="9" t="s">
        <v>138</v>
      </c>
      <c r="H10" s="9" t="s">
        <v>139</v>
      </c>
      <c r="I10" s="9" t="s">
        <v>140</v>
      </c>
      <c r="J10" s="9"/>
      <c r="K10" s="9" t="s">
        <v>145</v>
      </c>
      <c r="L10" s="9" t="s">
        <v>207</v>
      </c>
      <c r="M10" s="9"/>
      <c r="N10" s="9" t="s">
        <v>208</v>
      </c>
      <c r="O10" s="9" t="s">
        <v>75</v>
      </c>
      <c r="P10" s="9" t="s">
        <v>196</v>
      </c>
      <c r="Q10" s="9"/>
    </row>
    <row r="11" spans="1:17" ht="56" customHeight="1">
      <c r="A11" s="9" t="s">
        <v>73</v>
      </c>
      <c r="B11" s="9" t="s">
        <v>15</v>
      </c>
      <c r="C11" s="9" t="s">
        <v>155</v>
      </c>
      <c r="D11" s="9" t="s">
        <v>10</v>
      </c>
      <c r="E11" s="9" t="s">
        <v>144</v>
      </c>
      <c r="F11" s="9" t="s">
        <v>137</v>
      </c>
      <c r="G11" s="9" t="s">
        <v>138</v>
      </c>
      <c r="H11" s="9" t="s">
        <v>139</v>
      </c>
      <c r="I11" s="9" t="s">
        <v>140</v>
      </c>
      <c r="J11" s="9"/>
      <c r="K11" s="9" t="s">
        <v>145</v>
      </c>
      <c r="L11" s="9" t="s">
        <v>209</v>
      </c>
      <c r="M11" s="9"/>
      <c r="N11" s="9" t="s">
        <v>208</v>
      </c>
      <c r="O11" s="9" t="s">
        <v>76</v>
      </c>
      <c r="P11" s="9" t="s">
        <v>202</v>
      </c>
      <c r="Q11" s="9"/>
    </row>
    <row r="12" spans="1:17" ht="56" customHeight="1">
      <c r="A12" s="9" t="s">
        <v>77</v>
      </c>
      <c r="B12" s="9" t="s">
        <v>12</v>
      </c>
      <c r="C12" s="9" t="s">
        <v>154</v>
      </c>
      <c r="D12" s="9" t="s">
        <v>7</v>
      </c>
      <c r="E12" s="9" t="s">
        <v>144</v>
      </c>
      <c r="F12" s="9" t="s">
        <v>137</v>
      </c>
      <c r="G12" s="9" t="s">
        <v>146</v>
      </c>
      <c r="H12" s="9" t="s">
        <v>149</v>
      </c>
      <c r="I12" s="9" t="s">
        <v>140</v>
      </c>
      <c r="J12" s="9" t="s">
        <v>172</v>
      </c>
      <c r="K12" s="9" t="s">
        <v>171</v>
      </c>
      <c r="L12" s="9" t="s">
        <v>210</v>
      </c>
      <c r="M12" s="9" t="s">
        <v>210</v>
      </c>
      <c r="N12" s="9"/>
      <c r="O12" s="9" t="s">
        <v>82</v>
      </c>
      <c r="P12" s="9" t="s">
        <v>196</v>
      </c>
      <c r="Q12" s="9"/>
    </row>
    <row r="13" spans="1:17" ht="56" customHeight="1">
      <c r="A13" s="9" t="s">
        <v>77</v>
      </c>
      <c r="B13" s="9" t="s">
        <v>12</v>
      </c>
      <c r="C13" s="9" t="s">
        <v>155</v>
      </c>
      <c r="D13" s="9" t="s">
        <v>10</v>
      </c>
      <c r="E13" s="9" t="s">
        <v>144</v>
      </c>
      <c r="F13" s="9" t="s">
        <v>137</v>
      </c>
      <c r="G13" s="9" t="s">
        <v>146</v>
      </c>
      <c r="H13" s="9" t="s">
        <v>149</v>
      </c>
      <c r="I13" s="9" t="s">
        <v>140</v>
      </c>
      <c r="J13" s="9" t="s">
        <v>173</v>
      </c>
      <c r="K13" s="9" t="s">
        <v>151</v>
      </c>
      <c r="L13" s="9" t="s">
        <v>211</v>
      </c>
      <c r="M13" s="9" t="s">
        <v>211</v>
      </c>
      <c r="N13" s="9"/>
      <c r="O13" s="9" t="s">
        <v>83</v>
      </c>
      <c r="P13" s="9" t="s">
        <v>196</v>
      </c>
      <c r="Q13" s="9"/>
    </row>
    <row r="14" spans="1:17" ht="56" customHeight="1">
      <c r="A14" s="9" t="s">
        <v>84</v>
      </c>
      <c r="B14" s="9" t="s">
        <v>12</v>
      </c>
      <c r="C14" s="9" t="s">
        <v>154</v>
      </c>
      <c r="D14" s="9" t="s">
        <v>7</v>
      </c>
      <c r="E14" s="9" t="s">
        <v>144</v>
      </c>
      <c r="F14" s="9" t="s">
        <v>137</v>
      </c>
      <c r="G14" s="9" t="s">
        <v>146</v>
      </c>
      <c r="H14" s="9" t="s">
        <v>165</v>
      </c>
      <c r="I14" s="9" t="s">
        <v>147</v>
      </c>
      <c r="J14" s="9" t="s">
        <v>174</v>
      </c>
      <c r="K14" s="9" t="s">
        <v>148</v>
      </c>
      <c r="L14" s="9" t="s">
        <v>212</v>
      </c>
      <c r="M14" s="9" t="s">
        <v>212</v>
      </c>
      <c r="N14" s="9"/>
      <c r="O14" s="9" t="s">
        <v>89</v>
      </c>
      <c r="P14" s="9" t="s">
        <v>196</v>
      </c>
      <c r="Q14" s="9"/>
    </row>
    <row r="15" spans="1:17" ht="56" customHeight="1">
      <c r="A15" s="9" t="s">
        <v>84</v>
      </c>
      <c r="B15" s="9" t="s">
        <v>12</v>
      </c>
      <c r="C15" s="9" t="s">
        <v>155</v>
      </c>
      <c r="D15" s="9" t="s">
        <v>10</v>
      </c>
      <c r="E15" s="9" t="s">
        <v>144</v>
      </c>
      <c r="F15" s="9" t="s">
        <v>137</v>
      </c>
      <c r="G15" s="9" t="s">
        <v>146</v>
      </c>
      <c r="H15" s="9" t="s">
        <v>149</v>
      </c>
      <c r="I15" s="9" t="s">
        <v>147</v>
      </c>
      <c r="J15" s="9" t="s">
        <v>175</v>
      </c>
      <c r="K15" s="9" t="s">
        <v>148</v>
      </c>
      <c r="L15" s="9" t="s">
        <v>213</v>
      </c>
      <c r="M15" s="9" t="s">
        <v>213</v>
      </c>
      <c r="N15" s="9"/>
      <c r="O15" s="9" t="s">
        <v>90</v>
      </c>
      <c r="P15" s="9" t="s">
        <v>196</v>
      </c>
      <c r="Q15" s="9"/>
    </row>
    <row r="16" spans="1:17" ht="56" customHeight="1">
      <c r="A16" s="9" t="s">
        <v>91</v>
      </c>
      <c r="B16" s="9" t="s">
        <v>12</v>
      </c>
      <c r="C16" s="9" t="s">
        <v>154</v>
      </c>
      <c r="D16" s="9" t="s">
        <v>7</v>
      </c>
      <c r="E16" s="9" t="s">
        <v>136</v>
      </c>
      <c r="F16" s="9" t="s">
        <v>137</v>
      </c>
      <c r="G16" s="9" t="s">
        <v>138</v>
      </c>
      <c r="H16" s="9" t="s">
        <v>165</v>
      </c>
      <c r="I16" s="9" t="s">
        <v>140</v>
      </c>
      <c r="J16" s="9"/>
      <c r="K16" s="9" t="s">
        <v>141</v>
      </c>
      <c r="L16" s="9"/>
      <c r="M16" s="9"/>
      <c r="N16" s="9"/>
      <c r="O16" s="9" t="s">
        <v>96</v>
      </c>
      <c r="P16" s="9" t="s">
        <v>196</v>
      </c>
      <c r="Q16" s="9"/>
    </row>
    <row r="17" spans="1:17" ht="56" customHeight="1">
      <c r="A17" s="9" t="s">
        <v>91</v>
      </c>
      <c r="B17" s="9" t="s">
        <v>12</v>
      </c>
      <c r="C17" s="9" t="s">
        <v>155</v>
      </c>
      <c r="D17" s="9" t="s">
        <v>10</v>
      </c>
      <c r="E17" s="9" t="s">
        <v>136</v>
      </c>
      <c r="F17" s="9" t="s">
        <v>137</v>
      </c>
      <c r="G17" s="9" t="s">
        <v>138</v>
      </c>
      <c r="H17" s="9" t="s">
        <v>149</v>
      </c>
      <c r="I17" s="9" t="s">
        <v>140</v>
      </c>
      <c r="J17" s="9" t="s">
        <v>176</v>
      </c>
      <c r="K17" s="9" t="s">
        <v>141</v>
      </c>
      <c r="L17" s="9"/>
      <c r="M17" s="9"/>
      <c r="N17" s="9"/>
      <c r="O17" s="9" t="s">
        <v>97</v>
      </c>
      <c r="P17" s="9" t="s">
        <v>196</v>
      </c>
      <c r="Q17" s="9"/>
    </row>
    <row r="18" spans="1:17" ht="56" customHeight="1">
      <c r="A18" s="9" t="s">
        <v>98</v>
      </c>
      <c r="B18" s="9" t="s">
        <v>12</v>
      </c>
      <c r="C18" s="9" t="s">
        <v>154</v>
      </c>
      <c r="D18" s="9" t="s">
        <v>7</v>
      </c>
      <c r="E18" s="9" t="s">
        <v>144</v>
      </c>
      <c r="F18" s="9" t="s">
        <v>150</v>
      </c>
      <c r="G18" s="9" t="s">
        <v>146</v>
      </c>
      <c r="H18" s="9" t="s">
        <v>139</v>
      </c>
      <c r="I18" s="9" t="s">
        <v>140</v>
      </c>
      <c r="J18" s="9" t="s">
        <v>178</v>
      </c>
      <c r="K18" s="9" t="s">
        <v>151</v>
      </c>
      <c r="L18" s="9" t="s">
        <v>214</v>
      </c>
      <c r="M18" s="9" t="s">
        <v>214</v>
      </c>
      <c r="N18" s="9" t="s">
        <v>208</v>
      </c>
      <c r="O18" s="9" t="s">
        <v>104</v>
      </c>
      <c r="P18" s="9" t="s">
        <v>196</v>
      </c>
      <c r="Q18" s="9"/>
    </row>
    <row r="19" spans="1:17" ht="56" customHeight="1">
      <c r="A19" s="9" t="s">
        <v>98</v>
      </c>
      <c r="B19" s="9" t="s">
        <v>12</v>
      </c>
      <c r="C19" s="9" t="s">
        <v>155</v>
      </c>
      <c r="D19" s="9" t="s">
        <v>10</v>
      </c>
      <c r="E19" s="9" t="s">
        <v>144</v>
      </c>
      <c r="F19" s="9" t="s">
        <v>150</v>
      </c>
      <c r="G19" s="9" t="s">
        <v>177</v>
      </c>
      <c r="H19" s="9" t="s">
        <v>165</v>
      </c>
      <c r="I19" s="9" t="s">
        <v>140</v>
      </c>
      <c r="J19" s="9" t="s">
        <v>179</v>
      </c>
      <c r="K19" s="9" t="s">
        <v>151</v>
      </c>
      <c r="L19" s="9" t="s">
        <v>215</v>
      </c>
      <c r="M19" s="9" t="s">
        <v>215</v>
      </c>
      <c r="N19" s="9"/>
      <c r="O19" s="9" t="s">
        <v>105</v>
      </c>
      <c r="P19" s="9" t="s">
        <v>202</v>
      </c>
      <c r="Q19" s="9"/>
    </row>
    <row r="20" spans="1:17" ht="56" customHeight="1">
      <c r="A20" s="9" t="s">
        <v>106</v>
      </c>
      <c r="B20" s="9" t="s">
        <v>12</v>
      </c>
      <c r="C20" s="9" t="s">
        <v>154</v>
      </c>
      <c r="D20" s="9" t="s">
        <v>7</v>
      </c>
      <c r="E20" s="9" t="s">
        <v>142</v>
      </c>
      <c r="F20" s="9" t="s">
        <v>180</v>
      </c>
      <c r="G20" s="9" t="s">
        <v>146</v>
      </c>
      <c r="H20" s="9" t="s">
        <v>139</v>
      </c>
      <c r="I20" s="9" t="s">
        <v>140</v>
      </c>
      <c r="J20" s="9" t="s">
        <v>182</v>
      </c>
      <c r="K20" s="9" t="s">
        <v>151</v>
      </c>
      <c r="L20" s="9" t="s">
        <v>216</v>
      </c>
      <c r="M20" s="9" t="s">
        <v>216</v>
      </c>
      <c r="N20" s="9" t="s">
        <v>217</v>
      </c>
      <c r="O20" s="9" t="s">
        <v>111</v>
      </c>
      <c r="P20" s="9" t="s">
        <v>196</v>
      </c>
      <c r="Q20" s="9"/>
    </row>
    <row r="21" spans="1:17" ht="56" customHeight="1">
      <c r="A21" s="9" t="s">
        <v>106</v>
      </c>
      <c r="B21" s="9" t="s">
        <v>12</v>
      </c>
      <c r="C21" s="9" t="s">
        <v>155</v>
      </c>
      <c r="D21" s="9" t="s">
        <v>10</v>
      </c>
      <c r="E21" s="9" t="s">
        <v>142</v>
      </c>
      <c r="F21" s="9" t="s">
        <v>137</v>
      </c>
      <c r="G21" s="9" t="s">
        <v>146</v>
      </c>
      <c r="H21" s="9" t="s">
        <v>139</v>
      </c>
      <c r="I21" s="9" t="s">
        <v>140</v>
      </c>
      <c r="J21" s="9" t="s">
        <v>183</v>
      </c>
      <c r="K21" s="9" t="s">
        <v>181</v>
      </c>
      <c r="L21" s="9" t="s">
        <v>218</v>
      </c>
      <c r="M21" s="9" t="s">
        <v>218</v>
      </c>
      <c r="N21" s="9" t="s">
        <v>217</v>
      </c>
      <c r="O21" s="9" t="s">
        <v>112</v>
      </c>
      <c r="P21" s="9" t="s">
        <v>196</v>
      </c>
      <c r="Q21" s="9"/>
    </row>
    <row r="22" spans="1:17" ht="56" customHeight="1">
      <c r="A22" s="9" t="s">
        <v>113</v>
      </c>
      <c r="B22" s="9" t="s">
        <v>12</v>
      </c>
      <c r="C22" s="9" t="s">
        <v>154</v>
      </c>
      <c r="D22" s="9" t="s">
        <v>7</v>
      </c>
      <c r="E22" s="9" t="s">
        <v>144</v>
      </c>
      <c r="F22" s="9" t="s">
        <v>137</v>
      </c>
      <c r="G22" s="9" t="s">
        <v>146</v>
      </c>
      <c r="H22" s="9" t="s">
        <v>149</v>
      </c>
      <c r="I22" s="9" t="s">
        <v>140</v>
      </c>
      <c r="J22" s="9" t="s">
        <v>184</v>
      </c>
      <c r="K22" s="9" t="s">
        <v>171</v>
      </c>
      <c r="L22" s="9" t="s">
        <v>219</v>
      </c>
      <c r="M22" s="9" t="s">
        <v>220</v>
      </c>
      <c r="N22" s="9" t="s">
        <v>221</v>
      </c>
      <c r="O22" s="9" t="s">
        <v>117</v>
      </c>
      <c r="P22" s="9" t="s">
        <v>196</v>
      </c>
      <c r="Q22" s="9"/>
    </row>
    <row r="23" spans="1:17" ht="56" customHeight="1">
      <c r="A23" s="9" t="s">
        <v>113</v>
      </c>
      <c r="B23" s="9" t="s">
        <v>12</v>
      </c>
      <c r="C23" s="9" t="s">
        <v>155</v>
      </c>
      <c r="D23" s="9" t="s">
        <v>10</v>
      </c>
      <c r="E23" s="9" t="s">
        <v>144</v>
      </c>
      <c r="F23" s="9" t="s">
        <v>137</v>
      </c>
      <c r="G23" s="9" t="s">
        <v>146</v>
      </c>
      <c r="H23" s="9" t="s">
        <v>149</v>
      </c>
      <c r="I23" s="9" t="s">
        <v>140</v>
      </c>
      <c r="J23" s="9" t="s">
        <v>185</v>
      </c>
      <c r="K23" s="9" t="s">
        <v>151</v>
      </c>
      <c r="L23" s="9" t="s">
        <v>222</v>
      </c>
      <c r="M23" s="9" t="s">
        <v>223</v>
      </c>
      <c r="N23" s="9" t="s">
        <v>221</v>
      </c>
      <c r="O23" s="9" t="s">
        <v>118</v>
      </c>
      <c r="P23" s="9" t="s">
        <v>196</v>
      </c>
      <c r="Q23" s="9"/>
    </row>
    <row r="24" spans="1:17" ht="56" customHeight="1">
      <c r="A24" s="9" t="s">
        <v>119</v>
      </c>
      <c r="B24" s="9" t="s">
        <v>12</v>
      </c>
      <c r="C24" s="9" t="s">
        <v>154</v>
      </c>
      <c r="D24" s="9" t="s">
        <v>7</v>
      </c>
      <c r="E24" s="9" t="s">
        <v>144</v>
      </c>
      <c r="F24" s="9" t="s">
        <v>137</v>
      </c>
      <c r="G24" s="9" t="s">
        <v>146</v>
      </c>
      <c r="H24" s="9" t="s">
        <v>139</v>
      </c>
      <c r="I24" s="9" t="s">
        <v>140</v>
      </c>
      <c r="J24" s="9" t="s">
        <v>186</v>
      </c>
      <c r="K24" s="9" t="s">
        <v>171</v>
      </c>
      <c r="L24" s="9" t="s">
        <v>224</v>
      </c>
      <c r="M24" s="9" t="s">
        <v>225</v>
      </c>
      <c r="N24" s="9" t="s">
        <v>226</v>
      </c>
      <c r="O24" s="9" t="s">
        <v>122</v>
      </c>
      <c r="P24" s="9" t="s">
        <v>196</v>
      </c>
      <c r="Q24" s="9"/>
    </row>
    <row r="25" spans="1:17" ht="56" customHeight="1">
      <c r="A25" s="10" t="s">
        <v>119</v>
      </c>
      <c r="B25" s="10" t="s">
        <v>12</v>
      </c>
      <c r="C25" s="10" t="s">
        <v>155</v>
      </c>
      <c r="D25" s="10" t="s">
        <v>10</v>
      </c>
      <c r="E25" s="10" t="s">
        <v>144</v>
      </c>
      <c r="F25" s="10" t="s">
        <v>137</v>
      </c>
      <c r="G25" s="10" t="s">
        <v>146</v>
      </c>
      <c r="H25" s="10" t="s">
        <v>139</v>
      </c>
      <c r="I25" s="10" t="s">
        <v>140</v>
      </c>
      <c r="J25" s="10" t="s">
        <v>187</v>
      </c>
      <c r="K25" s="10" t="s">
        <v>151</v>
      </c>
      <c r="L25" s="10" t="s">
        <v>227</v>
      </c>
      <c r="M25" s="10" t="s">
        <v>228</v>
      </c>
      <c r="N25" s="10" t="s">
        <v>226</v>
      </c>
      <c r="O25" s="10" t="s">
        <v>123</v>
      </c>
      <c r="P25" s="10" t="s">
        <v>196</v>
      </c>
      <c r="Q25" s="10"/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3"/>
  <sheetViews>
    <sheetView showGridLines="0" topLeftCell="A6" workbookViewId="0">
      <selection activeCell="B29" sqref="B29"/>
    </sheetView>
  </sheetViews>
  <sheetFormatPr defaultRowHeight="14"/>
  <cols>
    <col min="1" max="1" width="30" customWidth="1"/>
    <col min="2" max="2" width="32" customWidth="1"/>
    <col min="3" max="3" width="58" customWidth="1"/>
    <col min="4" max="4" width="30" customWidth="1"/>
  </cols>
  <sheetData>
    <row r="1" spans="1:4" ht="30" customHeight="1">
      <c r="A1" s="31" t="s">
        <v>229</v>
      </c>
      <c r="B1" s="32"/>
      <c r="C1" s="32"/>
      <c r="D1" s="32"/>
    </row>
    <row r="3" spans="1:4" ht="32" customHeight="1">
      <c r="A3" s="1" t="s">
        <v>152</v>
      </c>
      <c r="B3" s="7" t="s">
        <v>230</v>
      </c>
      <c r="C3" s="7" t="s">
        <v>231</v>
      </c>
      <c r="D3" s="2" t="s">
        <v>232</v>
      </c>
    </row>
    <row r="4" spans="1:4">
      <c r="A4" s="8" t="s">
        <v>124</v>
      </c>
      <c r="B4" s="8" t="s">
        <v>136</v>
      </c>
      <c r="C4" s="8" t="s">
        <v>233</v>
      </c>
      <c r="D4" s="8" t="s">
        <v>234</v>
      </c>
    </row>
    <row r="5" spans="1:4">
      <c r="A5" s="9" t="s">
        <v>124</v>
      </c>
      <c r="B5" s="9" t="s">
        <v>142</v>
      </c>
      <c r="C5" s="9" t="s">
        <v>235</v>
      </c>
      <c r="D5" s="9" t="s">
        <v>234</v>
      </c>
    </row>
    <row r="6" spans="1:4">
      <c r="A6" s="9" t="s">
        <v>124</v>
      </c>
      <c r="B6" s="9" t="s">
        <v>144</v>
      </c>
      <c r="C6" s="9" t="s">
        <v>236</v>
      </c>
      <c r="D6" s="9" t="s">
        <v>234</v>
      </c>
    </row>
    <row r="7" spans="1:4">
      <c r="A7" s="9" t="s">
        <v>125</v>
      </c>
      <c r="B7" s="9" t="s">
        <v>137</v>
      </c>
      <c r="C7" s="9" t="s">
        <v>237</v>
      </c>
      <c r="D7" s="9" t="s">
        <v>234</v>
      </c>
    </row>
    <row r="8" spans="1:4">
      <c r="A8" s="9" t="s">
        <v>125</v>
      </c>
      <c r="B8" s="9" t="s">
        <v>150</v>
      </c>
      <c r="C8" s="9" t="s">
        <v>238</v>
      </c>
      <c r="D8" s="9" t="s">
        <v>234</v>
      </c>
    </row>
    <row r="9" spans="1:4">
      <c r="A9" s="9" t="s">
        <v>125</v>
      </c>
      <c r="B9" s="9" t="s">
        <v>180</v>
      </c>
      <c r="C9" s="9" t="s">
        <v>239</v>
      </c>
      <c r="D9" s="9" t="s">
        <v>234</v>
      </c>
    </row>
    <row r="10" spans="1:4">
      <c r="A10" s="9" t="s">
        <v>126</v>
      </c>
      <c r="B10" s="9" t="s">
        <v>138</v>
      </c>
      <c r="C10" s="9" t="s">
        <v>240</v>
      </c>
      <c r="D10" s="9" t="s">
        <v>234</v>
      </c>
    </row>
    <row r="11" spans="1:4">
      <c r="A11" s="9" t="s">
        <v>126</v>
      </c>
      <c r="B11" s="9" t="s">
        <v>146</v>
      </c>
      <c r="C11" s="9" t="s">
        <v>241</v>
      </c>
      <c r="D11" s="9" t="s">
        <v>234</v>
      </c>
    </row>
    <row r="12" spans="1:4">
      <c r="A12" s="9" t="s">
        <v>126</v>
      </c>
      <c r="B12" s="9" t="s">
        <v>177</v>
      </c>
      <c r="C12" s="9" t="s">
        <v>242</v>
      </c>
      <c r="D12" s="9" t="s">
        <v>234</v>
      </c>
    </row>
    <row r="13" spans="1:4">
      <c r="A13" s="9" t="s">
        <v>61</v>
      </c>
      <c r="B13" s="9" t="s">
        <v>139</v>
      </c>
      <c r="C13" s="9" t="s">
        <v>243</v>
      </c>
      <c r="D13" s="9" t="s">
        <v>234</v>
      </c>
    </row>
    <row r="14" spans="1:4">
      <c r="A14" s="9" t="s">
        <v>61</v>
      </c>
      <c r="B14" s="9" t="s">
        <v>149</v>
      </c>
      <c r="C14" s="9" t="s">
        <v>244</v>
      </c>
      <c r="D14" s="9" t="s">
        <v>234</v>
      </c>
    </row>
    <row r="15" spans="1:4">
      <c r="A15" s="9" t="s">
        <v>61</v>
      </c>
      <c r="B15" s="9" t="s">
        <v>165</v>
      </c>
      <c r="C15" s="9" t="s">
        <v>245</v>
      </c>
      <c r="D15" s="9" t="s">
        <v>234</v>
      </c>
    </row>
    <row r="16" spans="1:4">
      <c r="A16" s="9" t="s">
        <v>127</v>
      </c>
      <c r="B16" s="9" t="s">
        <v>140</v>
      </c>
      <c r="C16" s="9" t="s">
        <v>246</v>
      </c>
      <c r="D16" s="9" t="s">
        <v>234</v>
      </c>
    </row>
    <row r="17" spans="1:4">
      <c r="A17" s="9" t="s">
        <v>127</v>
      </c>
      <c r="B17" s="9" t="s">
        <v>147</v>
      </c>
      <c r="C17" s="9" t="s">
        <v>247</v>
      </c>
      <c r="D17" s="9" t="s">
        <v>234</v>
      </c>
    </row>
    <row r="18" spans="1:4">
      <c r="A18" s="9" t="s">
        <v>79</v>
      </c>
      <c r="B18" s="9" t="s">
        <v>141</v>
      </c>
      <c r="C18" s="9" t="s">
        <v>248</v>
      </c>
      <c r="D18" s="9" t="s">
        <v>234</v>
      </c>
    </row>
    <row r="19" spans="1:4">
      <c r="A19" s="9" t="s">
        <v>79</v>
      </c>
      <c r="B19" s="9" t="s">
        <v>145</v>
      </c>
      <c r="C19" s="9" t="s">
        <v>249</v>
      </c>
      <c r="D19" s="9" t="s">
        <v>234</v>
      </c>
    </row>
    <row r="20" spans="1:4">
      <c r="A20" s="9" t="s">
        <v>79</v>
      </c>
      <c r="B20" s="9" t="s">
        <v>151</v>
      </c>
      <c r="C20" s="9" t="s">
        <v>250</v>
      </c>
      <c r="D20" s="9" t="s">
        <v>234</v>
      </c>
    </row>
    <row r="21" spans="1:4">
      <c r="A21" s="9" t="s">
        <v>79</v>
      </c>
      <c r="B21" s="9" t="s">
        <v>171</v>
      </c>
      <c r="C21" s="9" t="s">
        <v>251</v>
      </c>
      <c r="D21" s="9" t="s">
        <v>234</v>
      </c>
    </row>
    <row r="22" spans="1:4">
      <c r="A22" s="9" t="s">
        <v>79</v>
      </c>
      <c r="B22" s="9" t="s">
        <v>148</v>
      </c>
      <c r="C22" s="9" t="s">
        <v>252</v>
      </c>
      <c r="D22" s="9" t="s">
        <v>234</v>
      </c>
    </row>
    <row r="23" spans="1:4">
      <c r="A23" s="9" t="s">
        <v>194</v>
      </c>
      <c r="B23" s="9" t="s">
        <v>196</v>
      </c>
      <c r="C23" s="9" t="s">
        <v>253</v>
      </c>
      <c r="D23" s="9" t="s">
        <v>234</v>
      </c>
    </row>
    <row r="24" spans="1:4">
      <c r="A24" s="9" t="s">
        <v>194</v>
      </c>
      <c r="B24" s="9" t="s">
        <v>202</v>
      </c>
      <c r="C24" s="9" t="s">
        <v>254</v>
      </c>
      <c r="D24" s="9" t="s">
        <v>234</v>
      </c>
    </row>
    <row r="25" spans="1:4">
      <c r="A25" s="10" t="s">
        <v>194</v>
      </c>
      <c r="B25" s="10" t="s">
        <v>255</v>
      </c>
      <c r="C25" s="10" t="s">
        <v>256</v>
      </c>
      <c r="D25" s="10" t="s">
        <v>234</v>
      </c>
    </row>
    <row r="27" spans="1:4">
      <c r="A27" s="33" t="s">
        <v>257</v>
      </c>
      <c r="B27" s="33"/>
      <c r="C27" s="3" t="s">
        <v>258</v>
      </c>
      <c r="D27" s="3" t="s">
        <v>259</v>
      </c>
    </row>
    <row r="28" spans="1:4">
      <c r="A28" t="s">
        <v>260</v>
      </c>
    </row>
    <row r="29" spans="1:4">
      <c r="A29" t="s">
        <v>261</v>
      </c>
    </row>
    <row r="30" spans="1:4">
      <c r="A30" t="s">
        <v>262</v>
      </c>
    </row>
    <row r="31" spans="1:4">
      <c r="A31" t="s">
        <v>263</v>
      </c>
    </row>
    <row r="32" spans="1:4">
      <c r="A32" t="s">
        <v>264</v>
      </c>
    </row>
    <row r="33" spans="1:1">
      <c r="A33" t="s">
        <v>265</v>
      </c>
    </row>
    <row r="34" spans="1:1">
      <c r="A34" t="s">
        <v>266</v>
      </c>
    </row>
    <row r="35" spans="1:1">
      <c r="A35" t="s">
        <v>176</v>
      </c>
    </row>
    <row r="36" spans="1:1">
      <c r="A36" t="s">
        <v>267</v>
      </c>
    </row>
    <row r="37" spans="1:1">
      <c r="A37" t="s">
        <v>268</v>
      </c>
    </row>
    <row r="38" spans="1:1">
      <c r="A38" t="s">
        <v>269</v>
      </c>
    </row>
    <row r="39" spans="1:1">
      <c r="A39" t="s">
        <v>270</v>
      </c>
    </row>
    <row r="40" spans="1:1">
      <c r="A40" t="s">
        <v>271</v>
      </c>
    </row>
    <row r="41" spans="1:1">
      <c r="A41" t="s">
        <v>272</v>
      </c>
    </row>
    <row r="42" spans="1:1">
      <c r="A42" t="s">
        <v>273</v>
      </c>
    </row>
    <row r="43" spans="1:1">
      <c r="A43" t="s">
        <v>274</v>
      </c>
    </row>
  </sheetData>
  <mergeCells count="2">
    <mergeCell ref="A1:D1"/>
    <mergeCell ref="A27:B27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使用说明</vt:lpstr>
      <vt:lpstr>裁决任务</vt:lpstr>
      <vt:lpstr>最终标签</vt:lpstr>
      <vt:lpstr>差异明细</vt:lpstr>
      <vt:lpstr>AI来源明细</vt:lpstr>
      <vt:lpstr>标签字典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 t</cp:lastModifiedBy>
  <dcterms:modified xsi:type="dcterms:W3CDTF">2026-07-30T06:44:36Z</dcterms:modified>
</cp:coreProperties>
</file>