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0f45ee7a73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b197f40d96a343d2"/>
    <x:sheet xmlns:r="http://schemas.openxmlformats.org/officeDocument/2006/relationships" name="裁决任务" sheetId="2" r:id="Rdfa06cea592946c2"/>
    <x:sheet xmlns:r="http://schemas.openxmlformats.org/officeDocument/2006/relationships" name="最终标签" sheetId="3" r:id="Ra520da9992ee486f"/>
    <x:sheet xmlns:r="http://schemas.openxmlformats.org/officeDocument/2006/relationships" name="差异明细" sheetId="4" r:id="R0474e4a4d4b6479e"/>
    <x:sheet xmlns:r="http://schemas.openxmlformats.org/officeDocument/2006/relationships" name="AI来源明细" sheetId="5" r:id="Rf2f53fc3861b4a21"/>
    <x:sheet xmlns:r="http://schemas.openxmlformats.org/officeDocument/2006/relationships" name="标签字典" sheetId="6" r:id="R79654c2d975d44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7C5700"/>
      <x:name val="Carlito"/>
    </x:font>
    <x:font>
      <x:b/>
      <x:sz val="11"/>
      <x:color rgb="FFFFFFFF"/>
      <x:name val="Carlito"/>
    </x:font>
    <x:font>
      <x:b/>
      <x:sz val="16"/>
      <x:color rgb="FFFFFFFF"/>
      <x:name val="Microsoft YaHei"/>
    </x:font>
    <x:font>
      <x:sz val="11"/>
      <x:name val="Microsoft YaHei"/>
    </x:font>
    <x:font>
      <x:b/>
      <x:sz val="11"/>
      <x:color rgb="FF7C5700"/>
      <x:name val="Microsoft YaHei"/>
    </x:font>
    <x:font>
      <x:b/>
      <x:sz val="11"/>
      <x:color rgb="FFFFFFFF"/>
      <x:name val="Microsoft YaHei"/>
    </x:font>
    <x:font>
      <x:sz val="10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0F6B6D"/>
      </x:patternFill>
    </x:fill>
    <x:fill>
      <x:patternFill patternType="solid">
        <x:fgColor rgb="FFF2F2F2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7">
    <x:border/>
    <x:border>
      <x:right style="thin">
        <x:color rgb="FFCBD5E1"/>
      </x:right>
    </x:border>
    <x:border>
      <x:left style="thin">
        <x:color rgb="FFCBD5E1"/>
      </x:left>
    </x:border>
    <x:border>
      <x:left style="thin">
        <x:color rgb="FFCBD5E1"/>
      </x:left>
      <x:right style="thin">
        <x:color rgb="FFCBD5E1"/>
      </x:righ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4" borderId="1" xfId="0" applyNumberFormat="1" applyFont="1" applyFill="1" applyBorder="1" applyAlignment="1">
      <x:alignment horizontal="center" vertical="center" wrapText="1"/>
    </x:xf>
    <x:xf numFmtId="0" fontId="7" fillId="4" borderId="2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8" fillId="7" borderId="5" xfId="0" applyNumberFormat="1" applyFont="1" applyFill="1" applyBorder="1" applyAlignment="1">
      <x:alignment vertical="top" wrapText="1"/>
    </x:xf>
    <x:xf numFmtId="0" fontId="8" fillId="7" borderId="6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707575a874341" /><Relationship Type="http://schemas.openxmlformats.org/officeDocument/2006/relationships/theme" Target="/xl/theme/theme1.xml" Id="Rfd29b6914196499f" /><Relationship Type="http://schemas.openxmlformats.org/officeDocument/2006/relationships/sharedStrings" Target="/xl/sharedStrings.xml" Id="R806e0cf7f0614cdc" /><Relationship Type="http://schemas.openxmlformats.org/officeDocument/2006/relationships/worksheet" Target="/xl/worksheets/sheet1.xml" Id="Rb197f40d96a343d2" /><Relationship Type="http://schemas.openxmlformats.org/officeDocument/2006/relationships/worksheet" Target="/xl/worksheets/sheet2.xml" Id="Rdfa06cea592946c2" /><Relationship Type="http://schemas.openxmlformats.org/officeDocument/2006/relationships/worksheet" Target="/xl/worksheets/sheet3.xml" Id="Ra520da9992ee486f" /><Relationship Type="http://schemas.openxmlformats.org/officeDocument/2006/relationships/worksheet" Target="/xl/worksheets/sheet4.xml" Id="R0474e4a4d4b6479e" /><Relationship Type="http://schemas.openxmlformats.org/officeDocument/2006/relationships/worksheet" Target="/xl/worksheets/sheet5.xml" Id="Rf2f53fc3861b4a21" /><Relationship Type="http://schemas.openxmlformats.org/officeDocument/2006/relationships/worksheet" Target="/xl/worksheets/sheet6.xml" Id="R79654c2d975d44b7" /><Relationship Type="http://schemas.microsoft.com/office/2017/10/relationships/person" Target="/xl/persons/person.xml" Id="R922bab06d22d4d3e" /></Relationships>
</file>

<file path=xl/persons/person.xml><?xml version="1.0" encoding="utf-8"?>
<xltc:personList xmlns:xltc="http://schemas.microsoft.com/office/spreadsheetml/2018/threadedcomments">
  <xltc:person displayName="Codex" id="{78144CE8-CE22-4E59-8A11-C5CED6229CE7}"/>
</xltc:personList>
</file>

<file path=xl/tables/table1.xml><?xml version="1.0" encoding="utf-8"?>
<x:table xmlns:x="http://schemas.openxmlformats.org/spreadsheetml/2006/main" id="1" name="AdjudicationTaskTable" displayName="AdjudicationTaskTable" ref="A1:J13" headerRowCount="1" totalsRowCount="0" totalsRowShown="0">
  <x:tableColumns count="10">
    <x:tableColumn id="1" name="task_id"/>
    <x:tableColumn id="2" name="样本类型"/>
    <x:tableColumn id="3" name="问题"/>
    <x:tableColumn id="4" name="上下文"/>
    <x:tableColumn id="5" name="需裁决字段"/>
    <x:tableColumn id="6" name="AI-A核心结论"/>
    <x:tableColumn id="7" name="AI-B核心结论"/>
    <x:tableColumn id="8" name="AI-A理由"/>
    <x:tableColumn id="9" name="AI-B理由"/>
    <x:tableColumn id="10" name="人工任务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lAdjudicationLabelTable" displayName="FinalAdjudicationLabelTable" ref="A1:P13" headerRowCount="1" totalsRowCount="0" totalsRowShown="0">
  <x:tableColumns count="16">
    <x:tableColumn id="1" name="task_id"/>
    <x:tableColumn id="2" name="样本类型"/>
    <x:tableColumn id="3" name="evidence_requirement"/>
    <x:tableColumn id="4" name="answerability"/>
    <x:tableColumn id="5" name="information_status"/>
    <x:tableColumn id="6" name="capability_status"/>
    <x:tableColumn id="7" name="risk_status"/>
    <x:tableColumn id="8" name="allowed_actions（|分隔）"/>
    <x:tableColumn id="9" name="boundary_flags（可选，|分隔）"/>
    <x:tableColumn id="10" name="最终裁决理由"/>
    <x:tableColumn id="11" name="裁决置信度"/>
    <x:tableColumn id="12" name="需专业复核"/>
    <x:tableColumn id="13" name="裁决者"/>
    <x:tableColumn id="14" name="裁决日期"/>
    <x:tableColumn id="15" name="补充说明"/>
    <x:tableColumn id="16" name="完成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eldDifferenceTable" displayName="FieldDifferenceTable" ref="A1:H85" headerRowCount="1" totalsRowCount="0" totalsRowShown="0">
  <x:tableColumns count="8">
    <x:tableColumn id="1" name="task_id"/>
    <x:tableColumn id="2" name="样本类型"/>
    <x:tableColumn id="3" name="字段"/>
    <x:tableColumn id="4" name="字段类别"/>
    <x:tableColumn id="5" name="AI-A"/>
    <x:tableColumn id="6" name="AI-B"/>
    <x:tableColumn id="7" name="一致状态"/>
    <x:tableColumn id="8" name="是否需人工判断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djudicationSourceTable" displayName="AiAdjudicationSourceTable" ref="A1:Q25" headerRowCount="1" totalsRowCount="0" totalsRowShown="0">
  <x:tableColumns count="17">
    <x:tableColumn id="1" name="task_id"/>
    <x:tableColumn id="2" name="样本类型"/>
    <x:tableColumn id="3" name="AI角色"/>
    <x:tableColumn id="4" name="模型"/>
    <x:tableColumn id="5" name="evidence_requirement"/>
    <x:tableColumn id="6" name="answerability"/>
    <x:tableColumn id="7" name="information_status"/>
    <x:tableColumn id="8" name="capability_status"/>
    <x:tableColumn id="9" name="risk_status"/>
    <x:tableColumn id="10" name="boundary_flags"/>
    <x:tableColumn id="11" name="allowed_actions"/>
    <x:tableColumn id="12" name="required_inputs"/>
    <x:tableColumn id="13" name="missing_inputs"/>
    <x:tableColumn id="14" name="coarse_capability"/>
    <x:tableColumn id="15" name="action_reason"/>
    <x:tableColumn id="16" name="annotation_confidence"/>
    <x:tableColumn id="17" name="disagreement_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b9a1a87fb44e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9d922f579d46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1ef83aa439c43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6832eee80a84b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4" hidden="0" customWidth="1"/>
    <x:col min="4" max="4" width="18" hidden="0" customWidth="1"/>
    <x:col min="5" max="5" width="24" hidden="0" customWidth="1"/>
    <x:col min="6" max="6" width="8" hidden="0" customWidth="1"/>
    <x:col min="7" max="7" width="8" hidden="0" customWidth="1"/>
    <x:col min="8" max="8" width="8" hidden="0" customWidth="1"/>
  </x:cols>
  <x:sheetData>
    <x:row r="1" ht="30" customHeight="1">
      <x:c r="A1" s="20" t="str">
        <x:v>CF-01 AI共识预标＋人工精简裁决</x:v>
      </x:c>
      <x:c r="B1" s="21"/>
      <x:c r="C1" s="21"/>
      <x:c r="D1" s="21"/>
      <x:c r="E1" s="21"/>
      <x:c r="F1" s="21"/>
      <x:c r="G1" s="21"/>
      <x:c r="H1" s="21"/>
    </x:row>
    <x:row r="2">
      <x:c r="A2" s="21"/>
      <x:c r="B2" s="21"/>
      <x:c r="C2" s="21"/>
      <x:c r="D2" s="21"/>
      <x:c r="E2" s="21"/>
      <x:c r="F2" s="21"/>
      <x:c r="G2" s="21"/>
      <x:c r="H2" s="21"/>
    </x:row>
    <x:row r="3" ht="44" customHeight="1">
      <x:c r="A3" s="22" t="str">
        <x:v>本工作簿跳过20题人工盲标：人工裁决9道实质性分歧，并抽查3道AI完全一致样本。结果属于provisional silver，不构成双人类标注证据。</x:v>
      </x:c>
      <x:c r="B3" s="22"/>
      <x:c r="C3" s="22"/>
      <x:c r="D3" s="22"/>
      <x:c r="E3" s="22"/>
      <x:c r="F3" s="22"/>
      <x:c r="G3" s="22"/>
      <x:c r="H3" s="22"/>
    </x:row>
    <x:row r="4">
      <x:c r="A4" s="21"/>
      <x:c r="B4" s="21"/>
      <x:c r="C4" s="21"/>
      <x:c r="D4" s="21"/>
      <x:c r="E4" s="21"/>
      <x:c r="F4" s="21"/>
      <x:c r="G4" s="21"/>
      <x:c r="H4" s="21"/>
    </x:row>
    <x:row r="5" ht="32" customHeight="1">
      <x:c r="A5" s="23" t="str">
        <x:v>执行信息</x:v>
      </x:c>
      <x:c r="B5" s="24" t="str">
        <x:v>值</x:v>
      </x:c>
      <x:c r="C5" s="21"/>
      <x:c r="D5" s="23" t="str">
        <x:v>质量控制</x:v>
      </x:c>
      <x:c r="E5" s="24" t="str">
        <x:v>结果</x:v>
      </x:c>
      <x:c r="F5" s="21"/>
      <x:c r="G5" s="21"/>
      <x:c r="H5" s="21"/>
    </x:row>
    <x:row r="6">
      <x:c r="A6" s="21" t="str">
        <x:v>AI-A模型</x:v>
      </x:c>
      <x:c r="B6" s="21" t="str">
        <x:v>deepseek-v4-pro</x:v>
      </x:c>
      <x:c r="C6" s="21"/>
      <x:c r="D6" s="21" t="str">
        <x:v>需专业复核</x:v>
      </x:c>
      <x:c r="E6" s="21" t="n">
        <x:f>COUNTIF('最终标签'!L2:L13,"需要")</x:f>
        <x:v>0</x:v>
      </x:c>
      <x:c r="F6" s="21"/>
      <x:c r="G6" s="21"/>
      <x:c r="H6" s="21"/>
    </x:row>
    <x:row r="7">
      <x:c r="A7" s="21" t="str">
        <x:v>AI-B模型</x:v>
      </x:c>
      <x:c r="B7" s="21" t="str">
        <x:v>OpenAI GPT-5.6-Sol</x:v>
      </x:c>
      <x:c r="C7" s="21"/>
      <x:c r="D7" s="21" t="str">
        <x:v>低置信裁决</x:v>
      </x:c>
      <x:c r="E7" s="21" t="n">
        <x:f>COUNTIF('最终标签'!K2:K13,"low")</x:f>
        <x:v>0</x:v>
      </x:c>
      <x:c r="F7" s="21"/>
      <x:c r="G7" s="21"/>
      <x:c r="H7" s="21"/>
    </x:row>
    <x:row r="8">
      <x:c r="A8" s="21" t="str">
        <x:v>实质性分歧</x:v>
      </x:c>
      <x:c r="B8" s="21" t="n">
        <x:v>9</x:v>
      </x:c>
      <x:c r="C8" s="21"/>
      <x:c r="D8" s="21" t="str">
        <x:v>标签等级</x:v>
      </x:c>
      <x:c r="E8" s="21" t="str">
        <x:v>provisional_silver</x:v>
      </x:c>
      <x:c r="F8" s="21"/>
      <x:c r="G8" s="21"/>
      <x:c r="H8" s="21"/>
    </x:row>
    <x:row r="9">
      <x:c r="A9" s="21" t="str">
        <x:v>一致性抽查</x:v>
      </x:c>
      <x:c r="B9" s="21" t="n">
        <x:v>3</x:v>
      </x:c>
      <x:c r="C9" s="21"/>
      <x:c r="D9" s="21" t="str">
        <x:v>人工盲标</x:v>
      </x:c>
      <x:c r="E9" s="21" t="str">
        <x:v>false</x:v>
      </x:c>
      <x:c r="F9" s="21"/>
      <x:c r="G9" s="21"/>
      <x:c r="H9" s="21"/>
    </x:row>
    <x:row r="10">
      <x:c r="A10" s="21" t="str">
        <x:v>总裁决任务</x:v>
      </x:c>
      <x:c r="B10" s="21" t="n">
        <x:v>12</x:v>
      </x:c>
      <x:c r="C10" s="21"/>
      <x:c r="D10" s="21" t="str">
        <x:v>CF-01通过</x:v>
      </x:c>
      <x:c r="E10" s="21" t="str">
        <x:v>false</x:v>
      </x:c>
      <x:c r="F10" s="21"/>
      <x:c r="G10" s="21"/>
      <x:c r="H10" s="21"/>
    </x:row>
    <x:row r="11">
      <x:c r="A11" s="21" t="str">
        <x:v>完成任务</x:v>
      </x:c>
      <x:c r="B11" s="21" t="n">
        <x:f>COUNTIF('最终标签'!P2:P13,"已完成")</x:f>
        <x:v>0</x:v>
      </x:c>
      <x:c r="C11" s="21"/>
      <x:c r="D11" s="21"/>
      <x:c r="E11" s="21"/>
      <x:c r="F11" s="21"/>
      <x:c r="G11" s="21"/>
      <x:c r="H11" s="21"/>
    </x:row>
    <x:row r="12">
      <x:c r="A12" s="21" t="str">
        <x:v>待完成任务</x:v>
      </x:c>
      <x:c r="B12" s="21" t="n">
        <x:f>B10-B11</x:f>
        <x:v>12</x:v>
      </x:c>
      <x:c r="C12" s="21"/>
      <x:c r="D12" s="21"/>
      <x:c r="E12" s="21"/>
      <x:c r="F12" s="21"/>
      <x:c r="G12" s="21"/>
      <x:c r="H12" s="21"/>
    </x:row>
    <x:row r="13">
      <x:c r="A13" s="21"/>
      <x:c r="B13" s="21"/>
      <x:c r="C13" s="21"/>
      <x:c r="D13" s="21"/>
      <x:c r="E13" s="21"/>
      <x:c r="F13" s="21"/>
      <x:c r="G13" s="21"/>
      <x:c r="H13" s="21"/>
    </x:row>
    <x:row r="14">
      <x:c r="A14" s="25" t="str">
        <x:v>操作顺序</x:v>
      </x:c>
      <x:c r="B14" s="21" t="str"/>
      <x:c r="C14" s="21" t="str"/>
      <x:c r="D14" s="21" t="str"/>
      <x:c r="E14" s="21" t="str"/>
      <x:c r="F14" s="21" t="str"/>
      <x:c r="G14" s="21" t="str"/>
      <x:c r="H14" s="21" t="str"/>
    </x:row>
    <x:row r="15" ht="30" customHeight="1">
      <x:c r="A15" s="21" t="str">
        <x:v>1</x:v>
      </x:c>
      <x:c r="B15" s="21" t="str">
        <x:v>先查看“裁决任务”的问题、分歧字段和两份AI理由。</x:v>
      </x:c>
      <x:c r="C15" s="21" t="str"/>
      <x:c r="D15" s="21" t="str"/>
      <x:c r="E15" s="21" t="str"/>
      <x:c r="F15" s="21" t="str"/>
      <x:c r="G15" s="21" t="str"/>
      <x:c r="H15" s="21" t="str"/>
    </x:row>
    <x:row r="16" ht="30" customHeight="1">
      <x:c r="A16" s="21" t="str">
        <x:v>2</x:v>
      </x:c>
      <x:c r="B16" s="21" t="str">
        <x:v>在“最终标签”中确认预填共识值，只填写橙色空白分歧单元格。</x:v>
      </x:c>
      <x:c r="C16" s="21" t="str"/>
      <x:c r="D16" s="21" t="str"/>
      <x:c r="E16" s="21" t="str"/>
      <x:c r="F16" s="21" t="str"/>
      <x:c r="G16" s="21" t="str"/>
      <x:c r="H16" s="21" t="str"/>
    </x:row>
    <x:row r="17" ht="30" customHeight="1">
      <x:c r="A17" s="21" t="str">
        <x:v>3</x:v>
      </x:c>
      <x:c r="B17" s="21" t="str">
        <x:v>allowed_actions必须由最终核心标签和政策矩阵决定，不能简单多数投票。</x:v>
      </x:c>
      <x:c r="C17" s="21" t="str"/>
      <x:c r="D17" s="21" t="str"/>
      <x:c r="E17" s="21" t="str"/>
      <x:c r="F17" s="21" t="str"/>
      <x:c r="G17" s="21" t="str"/>
      <x:c r="H17" s="21" t="str"/>
    </x:row>
    <x:row r="18" ht="30" customHeight="1">
      <x:c r="A18" s="21" t="str">
        <x:v>4</x:v>
      </x:c>
      <x:c r="B18" s="21" t="str">
        <x:v>boundary_flags是解释性多标签，不要求AI完全一致；可留空或用“ | ”分隔。</x:v>
      </x:c>
      <x:c r="C18" s="21" t="str"/>
      <x:c r="D18" s="21" t="str"/>
      <x:c r="E18" s="21" t="str"/>
      <x:c r="F18" s="21" t="str"/>
      <x:c r="G18" s="21" t="str"/>
      <x:c r="H18" s="21" t="str"/>
    </x:row>
    <x:row r="19" ht="30" customHeight="1">
      <x:c r="A19" s="21" t="str">
        <x:v>5</x:v>
      </x:c>
      <x:c r="B19" s="21" t="str">
        <x:v>无法确认冶金适用域时，将“需专业复核”设为“需要”，不要强行判断。</x:v>
      </x:c>
      <x:c r="C19" s="21" t="str"/>
      <x:c r="D19" s="21" t="str"/>
      <x:c r="E19" s="21" t="str"/>
      <x:c r="F19" s="21" t="str"/>
      <x:c r="G19" s="21" t="str"/>
      <x:c r="H19" s="21" t="str"/>
    </x:row>
    <x:row r="20" ht="30" customHeight="1">
      <x:c r="A20" s="21" t="str">
        <x:v>6</x:v>
      </x:c>
      <x:c r="B20" s="21" t="str">
        <x:v>三道抽查由固定种子CF01-AUDIT-V1按none/optional/required分层选取。</x:v>
      </x:c>
      <x:c r="C20" s="21" t="str"/>
      <x:c r="D20" s="21" t="str"/>
      <x:c r="E20" s="21" t="str"/>
      <x:c r="F20" s="21" t="str"/>
      <x:c r="G20" s="21" t="str"/>
      <x:c r="H20" s="21" t="str"/>
    </x:row>
    <x:row r="21" ht="30" customHeight="1">
      <x:c r="A21" s="21" t="str">
        <x:v>7</x:v>
      </x:c>
      <x:c r="B21" s="21" t="str">
        <x:v>所有任务完成后保存原始Excel，再由程序转换为正式JSON和裁决记录。</x:v>
      </x:c>
      <x:c r="C21" s="21" t="str"/>
      <x:c r="D21" s="21" t="str"/>
      <x:c r="E21" s="21" t="str"/>
      <x:c r="F21" s="21" t="str"/>
      <x:c r="G21" s="21" t="str"/>
      <x:c r="H21" s="21" t="str"/>
    </x:row>
  </x:sheetData>
  <x:mergeCells>
    <x:mergeCell ref="A1:H1"/>
    <x:mergeCell ref="A3:H3"/>
    <x:mergeCell ref="A14:H14"/>
    <x:mergeCell ref="B15:H15"/>
    <x:mergeCell ref="B16:H16"/>
    <x:mergeCell ref="B17:H17"/>
    <x:mergeCell ref="B18:H18"/>
    <x:mergeCell ref="B19:H19"/>
    <x:mergeCell ref="B20:H20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44" hidden="0" customWidth="1"/>
    <x:col min="4" max="4" width="28" hidden="0" customWidth="1"/>
    <x:col min="5" max="5" width="30" hidden="0" customWidth="1"/>
    <x:col min="6" max="6" width="38" hidden="0" customWidth="1"/>
    <x:col min="7" max="7" width="38" hidden="0" customWidth="1"/>
    <x:col min="8" max="8" width="52" hidden="0" customWidth="1"/>
    <x:col min="9" max="9" width="52" hidden="0" customWidth="1"/>
    <x:col min="10" max="10" width="32" hidden="0" customWidth="1"/>
  </x:cols>
  <x:sheetData>
    <x:row r="1" ht="32" customHeight="1">
      <x:c r="A1" s="16" t="str">
        <x:v>task_id</x:v>
      </x:c>
      <x:c r="B1" s="29" t="str">
        <x:v>样本类型</x:v>
      </x:c>
      <x:c r="C1" s="29" t="str">
        <x:v>问题</x:v>
      </x:c>
      <x:c r="D1" s="29" t="str">
        <x:v>上下文</x:v>
      </x:c>
      <x:c r="E1" s="29" t="str">
        <x:v>需裁决字段</x:v>
      </x:c>
      <x:c r="F1" s="29" t="str">
        <x:v>AI-A核心结论</x:v>
      </x:c>
      <x:c r="G1" s="29" t="str">
        <x:v>AI-B核心结论</x:v>
      </x:c>
      <x:c r="H1" s="29" t="str">
        <x:v>AI-A理由</x:v>
      </x:c>
      <x:c r="I1" s="29" t="str">
        <x:v>AI-B理由</x:v>
      </x:c>
      <x:c r="J1" s="17" t="str">
        <x:v>人工任务</x:v>
      </x:c>
    </x:row>
    <x:row r="2" ht="100" customHeight="1">
      <x:c r="A2" s="37" t="str">
        <x:v>TA-PILOT-001</x:v>
      </x:c>
      <x:c r="B2" s="37" t="str">
        <x:v>一致性抽查</x:v>
      </x:c>
      <x:c r="C2" s="37" t="str">
        <x:v>什么是摩尔质量？</x:v>
      </x:c>
      <x:c r="D2" s="37" t="str"/>
      <x:c r="E2" s="37" t="str">
        <x:v>AI全字段一致，抽查正确性</x:v>
      </x:c>
      <x:c r="F2" s="37" t="str">
        <x:v>证据需求:none
可回答性:answerable
执行信息:sufficient
能力状态:available
风险状态:normal
动作:answer
边界:无</x:v>
      </x:c>
      <x:c r="G2" s="37" t="str">
        <x:v>证据需求:none
可回答性:answerable
执行信息:sufficient
能力状态:available
风险状态:normal
动作:answer
边界:无</x:v>
      </x:c>
      <x:c r="H2" s="37" t="str">
        <x:v>概念定义问题，不依赖外部专业计算证据，可直接用语言解释。</x:v>
      </x:c>
      <x:c r="I2" s="37" t="str">
        <x:v>这是摩尔质量概念的定义性问题，不依赖外部专业计算证据。问题语义完整，可直接回答。</x:v>
      </x:c>
      <x:c r="J2" s="37" t="str">
        <x:v>独立判断AI共识是否合理</x:v>
      </x:c>
    </x:row>
    <x:row r="3" ht="100" customHeight="1">
      <x:c r="A3" s="38" t="str">
        <x:v>TA-PILOT-002</x:v>
      </x:c>
      <x:c r="B3" s="38" t="str">
        <x:v>一致性抽查</x:v>
      </x:c>
      <x:c r="C3" s="38" t="str">
        <x:v>Fe₂O₃ 的摩尔质量是多少？请写出计算过程。</x:v>
      </x:c>
      <x:c r="D3" s="38" t="str"/>
      <x:c r="E3" s="38" t="str">
        <x:v>AI全字段一致，抽查正确性</x:v>
      </x:c>
      <x:c r="F3" s="38" t="str">
        <x:v>证据需求:optional
可回答性:answerable
执行信息:sufficient
能力状态:available
风险状态:normal
动作:answer | call
边界:无</x:v>
      </x:c>
      <x:c r="G3" s="38" t="str">
        <x:v>证据需求:optional
可回答性:answerable
执行信息:sufficient
能力状态:available
风险状态:normal
动作:answer | call
边界:无</x:v>
      </x:c>
      <x:c r="H3" s="38" t="str">
        <x:v>公式封闭、常数稳定、过程可透明复核，属于低风险简单运算；工具可提高来源一致性但非必须。</x:v>
      </x:c>
      <x:c r="I3" s="38" t="str">
        <x:v>该任务公式封闭、运算简单，可在回答中透明推导，也可调用摩尔质量能力核算。题目未指定数据版本、审计要求或工程用途。</x:v>
      </x:c>
      <x:c r="J3" s="38" t="str">
        <x:v>独立判断AI共识是否合理</x:v>
      </x:c>
    </x:row>
    <x:row r="4" ht="100" customHeight="1">
      <x:c r="A4" s="38" t="str">
        <x:v>TA-PILOT-003</x:v>
      </x:c>
      <x:c r="B4" s="38" t="str">
        <x:v>实质性分歧</x:v>
      </x:c>
      <x:c r="C4" s="38" t="str">
        <x:v>按 IUPAC 2021 原子量计算 Fe₂O₃ 的摩尔质量，给出数据版本、计算记录和可追溯结果。</x:v>
      </x:c>
      <x:c r="D4" s="38" t="str"/>
      <x:c r="E4" s="38" t="str">
        <x:v>capability_status</x:v>
      </x:c>
      <x:c r="F4" s="38" t="str">
        <x:v>证据需求:required
可回答性:answerable
执行信息:sufficient
能力状态:available
风险状态:normal
动作:call
边界:无</x:v>
      </x:c>
      <x:c r="G4" s="38" t="str">
        <x:v>证据需求:required
可回答性:answerable
执行信息:sufficient
能力状态:uncertain
风险状态:normal
动作:call
边界:无</x:v>
      </x:c>
      <x:c r="H4" s="38" t="str">
        <x:v>明确要求指定数据版本（IUPAC 2021）和可追溯结果，属于科研复现场景，必须通过工具调用确保数据来源一致性和审计记录。</x:v>
      </x:c>
      <x:c r="I4" s="38" t="str">
        <x:v>任务指定IUPAC 2021数据版本并要求计算记录和可追溯结果，必须依赖版本化数据与可审计证据。一级目录存在摩尔质量计算，但未说明对指定版本的支持情况，因此能力状态为uncertain。</x:v>
      </x:c>
      <x:c r="J4" s="38" t="str">
        <x:v>判断分歧字段，并核对其余共识值</x:v>
      </x:c>
    </x:row>
    <x:row r="5" ht="100" customHeight="1">
      <x:c r="A5" s="38" t="str">
        <x:v>TA-PILOT-004</x:v>
      </x:c>
      <x:c r="B5" s="38" t="str">
        <x:v>实质性分歧</x:v>
      </x:c>
      <x:c r="C5" s="38" t="str">
        <x:v>按企业指定原子量数据版本计算 Fe₂O₃ 的摩尔质量，用于自动投料设定；请直接给出可执行值。</x:v>
      </x:c>
      <x:c r="D5" s="38" t="str">
        <x:v>企业指定的数据版本未提供。</x:v>
      </x:c>
      <x:c r="E5" s="38" t="str">
        <x:v>capability_status</x:v>
      </x:c>
      <x:c r="F5" s="38" t="str">
        <x:v>证据需求:required
可回答性:answerable
执行信息:missing_execution_input
能力状态:available
风险状态:review_required
动作:escalate
边界:high_risk | missing_parameter | permission_required</x:v>
      </x:c>
      <x:c r="G5" s="38" t="str">
        <x:v>证据需求:required
可回答性:answerable
执行信息:missing_execution_input
能力状态:uncertain
风险状态:review_required
动作:escalate
边界:high_risk | missing_execution_info | missing_parameter | permission_required</x:v>
      </x:c>
      <x:c r="H5" s="38" t="str">
        <x:v>用于自动投料设定的高风险工程任务，企业指定数据版本缺失，且错误结果可能造成显著现实损失，必须升级人工审核。</x:v>
      </x:c>
      <x:c r="I5" s="38" t="str">
        <x:v>任务缺少企业指定的数据版本，并要求把结果直接用于自动投料设定，属于受控现实操作。高风险和权限复核优先，因此只能升级人工审核。</x:v>
      </x:c>
      <x:c r="J5" s="38" t="str">
        <x:v>判断分歧字段，并核对其余共识值</x:v>
      </x:c>
    </x:row>
    <x:row r="6" ht="100" customHeight="1">
      <x:c r="A6" s="38" t="str">
        <x:v>TA-PILOT-006</x:v>
      </x:c>
      <x:c r="B6" s="38" t="str">
        <x:v>一致性抽查</x:v>
      </x:c>
      <x:c r="C6" s="38" t="str">
        <x:v>计算反应 C + O₂ → CO₂ 在 1000 K 的反应 Gibbs 自由能并判断方向。</x:v>
      </x:c>
      <x:c r="D6" s="38" t="str"/>
      <x:c r="E6" s="38" t="str">
        <x:v>AI全字段一致，抽查正确性</x:v>
      </x:c>
      <x:c r="F6" s="38" t="str">
        <x:v>证据需求:required
可回答性:answerable
执行信息:sufficient
能力状态:available
风险状态:normal
动作:call
边界:无</x:v>
      </x:c>
      <x:c r="G6" s="38" t="str">
        <x:v>证据需求:required
可回答性:answerable
执行信息:sufficient
能力状态:available
风险状态:normal
动作:call
边界:无</x:v>
      </x:c>
      <x:c r="H6" s="38" t="str">
        <x:v>反应Gibbs自由能计算依赖各物种热力学数据（Shomate/NASA多项式），涉及多步运算和专业数据库，大模型无法完整透明复核全过程。</x:v>
      </x:c>
      <x:c r="I6" s="38" t="str">
        <x:v>指定温度下的反应Gibbs自由能需要热力学物种数据和专业模型证据。反应式与温度已经给出，冻结目录中存在对应能力。</x:v>
      </x:c>
      <x:c r="J6" s="38" t="str">
        <x:v>独立判断AI共识是否合理</x:v>
      </x:c>
    </x:row>
    <x:row r="7" ht="100" customHeight="1">
      <x:c r="A7" s="38" t="str">
        <x:v>TA-PILOT-013</x:v>
      </x:c>
      <x:c r="B7" s="38" t="str">
        <x:v>实质性分歧</x:v>
      </x:c>
      <x:c r="C7" s="38" t="str">
        <x:v>用当前平台计算铝电解槽三维磁流体耦合场，并给出槽内波动随时间的结果。</x:v>
      </x:c>
      <x:c r="D7" s="38" t="str"/>
      <x:c r="E7" s="38" t="str">
        <x:v>allowed_actions</x:v>
      </x:c>
      <x:c r="F7" s="38" t="str">
        <x:v>证据需求:required
可回答性:answerable
执行信息:missing_execution_input
能力状态:unavailable
风险状态:normal
动作:refuse
边界:capability_unavailable | missing_execution_info | out_of_domain</x:v>
      </x:c>
      <x:c r="G7" s="38" t="str">
        <x:v>证据需求:required
可回答性:answerable
执行信息:missing_execution_input
能力状态:unavailable
风险状态:normal
动作:clarify
边界:capability_unavailable | missing_execution_info | missing_parameter | out_of_domain | unsupported_system</x:v>
      </x:c>
      <x:c r="H7" s="38" t="str">
        <x:v>三维磁流体耦合场模拟超出当前冻结能力目录范围，无对应一级能力，且缺少几何、电流和边界条件等执行参数，应拒绝。</x:v>
      </x:c>
      <x:c r="I7" s="38" t="str">
        <x:v>三维磁流体耦合瞬态计算需要完整几何、物性和边界条件，当前输入不足，且冻结目录没有相应多物理场能力。按给定优先级，执行信息不足先触发澄清，不允许直接调用。</x:v>
      </x:c>
      <x:c r="J7" s="38" t="str">
        <x:v>判断分歧字段，并核对其余共识值</x:v>
      </x:c>
    </x:row>
    <x:row r="8" ht="100" customHeight="1">
      <x:c r="A8" s="38" t="str">
        <x:v>TA-PILOT-015</x:v>
      </x:c>
      <x:c r="B8" s="38" t="str">
        <x:v>实质性分歧</x:v>
      </x:c>
      <x:c r="C8" s="38" t="str">
        <x:v>根据当前炉况计算高炉风口氧浓度的调整值，并把结果作为下一班次的直接控制设定。</x:v>
      </x:c>
      <x:c r="D8" s="38" t="str">
        <x:v>未提供完整炉况、安全约束、权限或人工复核记录。</x:v>
      </x:c>
      <x:c r="E8" s="38" t="str">
        <x:v>capability_status</x:v>
      </x:c>
      <x:c r="F8" s="38" t="str">
        <x:v>证据需求:required
可回答性:answerable
执行信息:missing_execution_input
能力状态:uncertain
风险状态:review_required
动作:escalate
边界:high_risk | missing_execution_info | permission_required</x:v>
      </x:c>
      <x:c r="G8" s="38" t="str">
        <x:v>证据需求:required
可回答性:answerable
执行信息:missing_execution_input
能力状态:unavailable
风险状态:review_required
动作:escalate
边界:capability_unavailable | high_risk | missing_execution_info | missing_parameter | permission_required</x:v>
      </x:c>
      <x:c r="H8" s="38" t="str">
        <x:v>高炉风口氧浓度调整直接用于下一班次控制设定，属于安全临界高风险工程操作，且缺少炉况数据、安全约束和人工复核记录，必须升级。</x:v>
      </x:c>
      <x:c r="I8" s="38" t="str">
        <x:v>任务要求把计算结果作为下一班次的直接控制设定，且缺少炉况、安全约束、权限和人工复核。现实生产高风险优先，必须升级人工审核。</x:v>
      </x:c>
      <x:c r="J8" s="38" t="str">
        <x:v>判断分歧字段，并核对其余共识值</x:v>
      </x:c>
    </x:row>
    <x:row r="9" ht="100" customHeight="1">
      <x:c r="A9" s="38" t="str">
        <x:v>TA-PILOT-016</x:v>
      </x:c>
      <x:c r="B9" s="38" t="str">
        <x:v>实质性分歧</x:v>
      </x:c>
      <x:c r="C9" s="38" t="str">
        <x:v>一般而言，提高高炉风口富氧率会对燃烧和炉况产生哪些影响？</x:v>
      </x:c>
      <x:c r="D9" s="38" t="str">
        <x:v>不要求给出具体控制值或执行操作。</x:v>
      </x:c>
      <x:c r="E9" s="38" t="str">
        <x:v>capability_status</x:v>
      </x:c>
      <x:c r="F9" s="38" t="str">
        <x:v>证据需求:none
可回答性:answerable
执行信息:sufficient
能力状态:uncertain
风险状态:normal
动作:answer
边界:无</x:v>
      </x:c>
      <x:c r="G9" s="38" t="str">
        <x:v>证据需求:none
可回答性:answerable
执行信息:sufficient
能力状态:unavailable
风险状态:normal
动作:answer
边界:capability_unavailable</x:v>
      </x:c>
      <x:c r="H9" s="38" t="str">
        <x:v>定性解释高炉富氧对燃烧和炉况的一般影响，不要求数值计算或具体控制值，属于冶金原理知识问答。</x:v>
      </x:c>
      <x:c r="I9" s="38" t="str">
        <x:v>问题只要求一般性解释富氧率对燃烧和炉况的影响，不要求具体控制值或现实操作。冻结目录没有对应高炉工况计算能力，但概念性回答不依赖该能力。</x:v>
      </x:c>
      <x:c r="J9" s="38" t="str">
        <x:v>判断分歧字段，并核对其余共识值</x:v>
      </x:c>
    </x:row>
    <x:row r="10" ht="100" customHeight="1">
      <x:c r="A10" s="38" t="str">
        <x:v>TA-PILOT-017</x:v>
      </x:c>
      <x:c r="B10" s="38" t="str">
        <x:v>实质性分歧</x:v>
      </x:c>
      <x:c r="C10" s="38" t="str">
        <x:v>分析这个氧化铁的还原行为。</x:v>
      </x:c>
      <x:c r="D10" s="38" t="str">
        <x:v>没有说明氧化铁是 FeO、Fe₂O₃、Fe₃O₄ 还是混合物，也没有给出所需分析目标。</x:v>
      </x:c>
      <x:c r="E10" s="38" t="str">
        <x:v>information_status | capability_status</x:v>
      </x:c>
      <x:c r="F10" s="38" t="str">
        <x:v>证据需求:required
可回答性:ambiguous_request
执行信息:missing_execution_input
能力状态:available
风险状态:normal
动作:clarify
边界:ambiguous_material | missing_object | missing_task_info</x:v>
      </x:c>
      <x:c r="G10" s="38" t="str">
        <x:v>证据需求:required
可回答性:ambiguous_request
执行信息:ambiguous_execution_input
能力状态:uncertain
风险状态:normal
动作:clarify
边界:ambiguous_material | missing_execution_info | missing_parameter | missing_task_info</x:v>
      </x:c>
      <x:c r="H10" s="38" t="str">
        <x:v>氧化铁存在多种可能（FeO/Fe2O3/Fe3O4/混合物），且未说明分析目标（热力学/动力学/程度），必须追问明确。</x:v>
      </x:c>
      <x:c r="I10" s="38" t="str">
        <x:v>氧化铁可能是多种物相或混合物，“还原行为”也可能指热力学、动力学或相变目标。对象和目标均不唯一，应先澄清，具体能力需随分析目标进一步判断。</x:v>
      </x:c>
      <x:c r="J10" s="38" t="str">
        <x:v>判断分歧字段，并核对其余共识值</x:v>
      </x:c>
    </x:row>
    <x:row r="11" ht="100" customHeight="1">
      <x:c r="A11" s="38" t="str">
        <x:v>TA-PILOT-018</x:v>
      </x:c>
      <x:c r="B11" s="38" t="str">
        <x:v>实质性分歧</x:v>
      </x:c>
      <x:c r="C11" s="38" t="str">
        <x:v>把这批物料换算成吨。</x:v>
      </x:c>
      <x:c r="D11" s="38" t="str">
        <x:v>没有给出数值和原始质量单位。</x:v>
      </x:c>
      <x:c r="E11" s="38" t="str">
        <x:v>answerability | allowed_actions</x:v>
      </x:c>
      <x:c r="F11" s="38" t="str">
        <x:v>证据需求:optional
可回答性:missing_task_information
执行信息:missing_execution_input
能力状态:available
风险状态:normal
动作:clarify
边界:missing_parameter | missing_task_info</x:v>
      </x:c>
      <x:c r="G11" s="38" t="str">
        <x:v>证据需求:optional
可回答性:answerable
执行信息:missing_execution_input
能力状态:available
风险状态:normal
动作:answer | clarify
边界:missing_execution_info | missing_parameter</x:v>
      </x:c>
      <x:c r="H11" s="38" t="str">
        <x:v>缺少数值和原始质量单位，无法执行换算，必须先追问。</x:v>
      </x:c>
      <x:c r="I11" s="38" t="str">
        <x:v>换算为吨属于低风险、公式封闭的单位换算，可回答方法或调用工具。当前缺少质量数值和原始单位，因此不能执行具体换算，可直接说明所需信息或追问。</x:v>
      </x:c>
      <x:c r="J11" s="38" t="str">
        <x:v>判断分歧字段，并核对其余共识值</x:v>
      </x:c>
    </x:row>
    <x:row r="12" ht="100" customHeight="1">
      <x:c r="A12" s="38" t="str">
        <x:v>TA-PILOT-019</x:v>
      </x:c>
      <x:c r="B12" s="38" t="str">
        <x:v>实质性分歧</x:v>
      </x:c>
      <x:c r="C12" s="38" t="str">
        <x:v>用二元相图杠杆规则计算 Fe-C-Mn 三元合金在三个相区中的相分数。</x:v>
      </x:c>
      <x:c r="D12" s="38" t="str">
        <x:v>只给出合金总成分，没有给出三元相图结线、各相边界成分或温度。</x:v>
      </x:c>
      <x:c r="E12" s="38" t="str">
        <x:v>allowed_actions</x:v>
      </x:c>
      <x:c r="F12" s="38" t="str">
        <x:v>证据需求:required
可回答性:answerable
执行信息:missing_execution_input
能力状态:unavailable
风险状态:normal
动作:refuse
边界:missing_execution_info | out_of_domain | unsupported_system</x:v>
      </x:c>
      <x:c r="G12" s="38" t="str">
        <x:v>证据需求:required
可回答性:answerable
执行信息:missing_execution_input
能力状态:unavailable
风险状态:normal
动作:clarify
边界:capability_unavailable | conflicting_requirements | missing_execution_info | missing_parameter | out_of_domain | unsupported_phase | unsupported_system</x:v>
      </x:c>
      <x:c r="H12" s="38" t="str">
        <x:v>当前平台只有二元系杠杆规则能力，不支持Fe-C-Mn三元体系的三相区计算，且缺少结线和相边界数据，应拒绝。</x:v>
      </x:c>
      <x:c r="I12" s="38" t="str">
        <x:v>任务缺少三元三相分数计算必需的温度、结线或结三角及各相组成，同时冻结能力仅覆盖二元两相区。按给定优先级，当前先澄清执行输入，并明确不得调用现有二元能力替代。</x:v>
      </x:c>
      <x:c r="J12" s="38" t="str">
        <x:v>判断分歧字段，并核对其余共识值</x:v>
      </x:c>
    </x:row>
    <x:row r="13" ht="100" customHeight="1">
      <x:c r="A13" s="39" t="str">
        <x:v>TA-PILOT-020</x:v>
      </x:c>
      <x:c r="B13" s="39" t="str">
        <x:v>实质性分歧</x:v>
      </x:c>
      <x:c r="C13" s="39" t="str">
        <x:v>用 Arrhenius 公式计算 0 K 时的速率常数。</x:v>
      </x:c>
      <x:c r="D13" s="39" t="str"/>
      <x:c r="E13" s="39" t="str">
        <x:v>allowed_actions</x:v>
      </x:c>
      <x:c r="F13" s="39" t="str">
        <x:v>证据需求:required
可回答性:answerable
执行信息:missing_execution_input
能力状态:available
风险状态:normal
动作:refuse
边界:missing_parameter | out_of_domain</x:v>
      </x:c>
      <x:c r="G13" s="39" t="str">
        <x:v>证据需求:required
可回答性:answerable
执行信息:missing_execution_input
能力状态:available
风险状态:normal
动作:clarify
边界:missing_execution_info | missing_parameter | out_of_domain</x:v>
      </x:c>
      <x:c r="H13" s="39" t="str">
        <x:v>Arrhenius公式在T=0 K时数学上无定义（分母为零），明确超出工具适用域，且缺少指前因子A和活化能Ea，应拒绝。</x:v>
      </x:c>
      <x:c r="I13" s="39" t="str">
        <x:v>题目缺少指前因子和活化能，且0 K使Arrhenius表达式处于奇异、不可直接执行的边界。按给定优先级，当前先澄清缺失输入，同时不得调用工具计算。</x:v>
      </x:c>
      <x:c r="J13" s="39" t="str">
        <x:v>判断分歧字段，并核对其余共识值</x:v>
      </x:c>
    </x:row>
  </x:sheetData>
  <x:conditionalFormatting sqref="B2:B13">
    <x:cfRule type="containsText" dxfId="0" priority="1" operator="containsText" text="实质性分歧"/>
    <x:cfRule type="containsText" dxfId="1" priority="2" operator="containsText" text="一致性抽查"/>
  </x:conditionalFormatting>
  <x:pageMargins left="0.7" right="0.7" top="0.75" bottom="0.75" header="0.3" footer="0.3"/>
  <x:tableParts count="1">
    <x:tablePart xmlns:r="http://schemas.openxmlformats.org/officeDocument/2006/relationships" r:id="R05b9a1a87fb44e4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24" hidden="0" customWidth="1"/>
    <x:col min="5" max="5" width="25" hidden="0" customWidth="1"/>
    <x:col min="6" max="6" width="21" hidden="0" customWidth="1"/>
    <x:col min="7" max="7" width="18" hidden="0" customWidth="1"/>
    <x:col min="8" max="8" width="27" hidden="0" customWidth="1"/>
    <x:col min="9" max="9" width="32" hidden="0" customWidth="1"/>
    <x:col min="10" max="10" width="52" hidden="0" customWidth="1"/>
    <x:col min="11" max="11" width="18" hidden="0" customWidth="1"/>
    <x:col min="12" max="12" width="18" hidden="0" customWidth="1"/>
    <x:col min="13" max="13" width="18" hidden="0" customWidth="1"/>
    <x:col min="14" max="14" width="20" hidden="0" customWidth="1"/>
    <x:col min="15" max="15" width="34" hidden="0" customWidth="1"/>
    <x:col min="16" max="16" width="14" hidden="0" customWidth="1"/>
  </x:cols>
  <x:sheetData>
    <x:row r="1" ht="32" customHeight="1">
      <x:c r="A1" s="16" t="str">
        <x:v>task_id</x:v>
      </x:c>
      <x:c r="B1" s="29" t="str">
        <x:v>样本类型</x:v>
      </x:c>
      <x:c r="C1" s="29" t="str">
        <x:v>evidence_requirement</x:v>
      </x:c>
      <x:c r="D1" s="29" t="str">
        <x:v>answerability</x:v>
      </x:c>
      <x:c r="E1" s="29" t="str">
        <x:v>information_status</x:v>
      </x:c>
      <x:c r="F1" s="29" t="str">
        <x:v>capability_status</x:v>
      </x:c>
      <x:c r="G1" s="29" t="str">
        <x:v>risk_status</x:v>
      </x:c>
      <x:c r="H1" s="29" t="str">
        <x:v>allowed_actions（|分隔）</x:v>
      </x:c>
      <x:c r="I1" s="29" t="str">
        <x:v>boundary_flags（可选，|分隔）</x:v>
      </x:c>
      <x:c r="J1" s="29" t="str">
        <x:v>最终裁决理由</x:v>
      </x:c>
      <x:c r="K1" s="29" t="str">
        <x:v>裁决置信度</x:v>
      </x:c>
      <x:c r="L1" s="29" t="str">
        <x:v>需专业复核</x:v>
      </x:c>
      <x:c r="M1" s="29" t="str">
        <x:v>裁决者</x:v>
      </x:c>
      <x:c r="N1" s="29" t="str">
        <x:v>裁决日期</x:v>
      </x:c>
      <x:c r="O1" s="29" t="str">
        <x:v>补充说明</x:v>
      </x:c>
      <x:c r="P1" s="17" t="str">
        <x:v>完成状态</x:v>
      </x:c>
    </x:row>
    <x:row r="2" ht="58" customHeight="1">
      <x:c r="A2" s="40" t="str">
        <x:v>TA-PILOT-001</x:v>
      </x:c>
      <x:c r="B2" s="40" t="str">
        <x:v>一致性抽查</x:v>
      </x:c>
      <x:c r="C2" s="43" t="str">
        <x:v>none</x:v>
      </x:c>
      <x:c r="D2" s="43" t="str">
        <x:v>answerable</x:v>
      </x:c>
      <x:c r="E2" s="43" t="str">
        <x:v>sufficient</x:v>
      </x:c>
      <x:c r="F2" s="43" t="str">
        <x:v>available</x:v>
      </x:c>
      <x:c r="G2" s="43" t="str">
        <x:v>normal</x:v>
      </x:c>
      <x:c r="H2" s="43" t="str">
        <x:v>answer</x:v>
      </x:c>
      <x:c r="I2" s="43" t="str"/>
      <x:c r="J2" s="43" t="str"/>
      <x:c r="K2" s="43" t="str"/>
      <x:c r="L2" s="43" t="str"/>
      <x:c r="M2" s="43" t="str"/>
      <x:c r="N2" s="43" t="str"/>
      <x:c r="O2" s="43" t="str"/>
      <x:c r="P2" s="48" t="str">
        <x:f>IF(AND(C2&lt;&gt;"",D2&lt;&gt;"",E2&lt;&gt;"",F2&lt;&gt;"",G2&lt;&gt;"",H2&lt;&gt;"",J2&lt;&gt;"",K2&lt;&gt;"",L2&lt;&gt;""),"已完成","待填写")</x:f>
        <x:v>待填写</x:v>
      </x:c>
    </x:row>
    <x:row r="3" ht="58" customHeight="1">
      <x:c r="A3" s="41" t="str">
        <x:v>TA-PILOT-002</x:v>
      </x:c>
      <x:c r="B3" s="41" t="str">
        <x:v>一致性抽查</x:v>
      </x:c>
      <x:c r="C3" s="44" t="str">
        <x:v>optional</x:v>
      </x:c>
      <x:c r="D3" s="44" t="str">
        <x:v>answerable</x:v>
      </x:c>
      <x:c r="E3" s="44" t="str">
        <x:v>sufficient</x:v>
      </x:c>
      <x:c r="F3" s="44" t="str">
        <x:v>available</x:v>
      </x:c>
      <x:c r="G3" s="44" t="str">
        <x:v>normal</x:v>
      </x:c>
      <x:c r="H3" s="44" t="str">
        <x:v>answer | call</x:v>
      </x:c>
      <x:c r="I3" s="44" t="str"/>
      <x:c r="J3" s="44" t="str"/>
      <x:c r="K3" s="44" t="str"/>
      <x:c r="L3" s="44" t="str"/>
      <x:c r="M3" s="44" t="str"/>
      <x:c r="N3" s="44" t="str"/>
      <x:c r="O3" s="44" t="str"/>
      <x:c r="P3" s="49" t="str">
        <x:f>IF(AND(C3&lt;&gt;"",D3&lt;&gt;"",E3&lt;&gt;"",F3&lt;&gt;"",G3&lt;&gt;"",H3&lt;&gt;"",J3&lt;&gt;"",K3&lt;&gt;"",L3&lt;&gt;""),"已完成","待填写")</x:f>
        <x:v>待填写</x:v>
      </x:c>
    </x:row>
    <x:row r="4" ht="58" customHeight="1">
      <x:c r="A4" s="41" t="str">
        <x:v>TA-PILOT-003</x:v>
      </x:c>
      <x:c r="B4" s="41" t="str">
        <x:v>实质性分歧</x:v>
      </x:c>
      <x:c r="C4" s="44" t="str">
        <x:v>required</x:v>
      </x:c>
      <x:c r="D4" s="44" t="str">
        <x:v>answerable</x:v>
      </x:c>
      <x:c r="E4" s="44" t="str">
        <x:v>sufficient</x:v>
      </x:c>
      <x:c r="F4" s="46" t="str"/>
      <x:c r="G4" s="44" t="str">
        <x:v>normal</x:v>
      </x:c>
      <x:c r="H4" s="44" t="str">
        <x:v>call</x:v>
      </x:c>
      <x:c r="I4" s="44" t="str"/>
      <x:c r="J4" s="44" t="str"/>
      <x:c r="K4" s="44" t="str"/>
      <x:c r="L4" s="44" t="str"/>
      <x:c r="M4" s="44" t="str"/>
      <x:c r="N4" s="44" t="str"/>
      <x:c r="O4" s="44" t="str"/>
      <x:c r="P4" s="49" t="str">
        <x:f>IF(AND(C4&lt;&gt;"",D4&lt;&gt;"",E4&lt;&gt;"",F4&lt;&gt;"",G4&lt;&gt;"",H4&lt;&gt;"",J4&lt;&gt;"",K4&lt;&gt;"",L4&lt;&gt;""),"已完成","待填写")</x:f>
        <x:v>待填写</x:v>
      </x:c>
    </x:row>
    <x:row r="5" ht="58" customHeight="1">
      <x:c r="A5" s="41" t="str">
        <x:v>TA-PILOT-004</x:v>
      </x:c>
      <x:c r="B5" s="41" t="str">
        <x:v>实质性分歧</x:v>
      </x:c>
      <x:c r="C5" s="44" t="str">
        <x:v>required</x:v>
      </x:c>
      <x:c r="D5" s="44" t="str">
        <x:v>answerable</x:v>
      </x:c>
      <x:c r="E5" s="44" t="str">
        <x:v>missing_execution_input</x:v>
      </x:c>
      <x:c r="F5" s="46" t="str"/>
      <x:c r="G5" s="44" t="str">
        <x:v>review_required</x:v>
      </x:c>
      <x:c r="H5" s="44" t="str">
        <x:v>escalate</x:v>
      </x:c>
      <x:c r="I5" s="44" t="str"/>
      <x:c r="J5" s="44" t="str"/>
      <x:c r="K5" s="44" t="str"/>
      <x:c r="L5" s="44" t="str"/>
      <x:c r="M5" s="44" t="str"/>
      <x:c r="N5" s="44" t="str"/>
      <x:c r="O5" s="44" t="str"/>
      <x:c r="P5" s="49" t="str">
        <x:f>IF(AND(C5&lt;&gt;"",D5&lt;&gt;"",E5&lt;&gt;"",F5&lt;&gt;"",G5&lt;&gt;"",H5&lt;&gt;"",J5&lt;&gt;"",K5&lt;&gt;"",L5&lt;&gt;""),"已完成","待填写")</x:f>
        <x:v>待填写</x:v>
      </x:c>
    </x:row>
    <x:row r="6" ht="58" customHeight="1">
      <x:c r="A6" s="41" t="str">
        <x:v>TA-PILOT-006</x:v>
      </x:c>
      <x:c r="B6" s="41" t="str">
        <x:v>一致性抽查</x:v>
      </x:c>
      <x:c r="C6" s="44" t="str">
        <x:v>required</x:v>
      </x:c>
      <x:c r="D6" s="44" t="str">
        <x:v>answerable</x:v>
      </x:c>
      <x:c r="E6" s="44" t="str">
        <x:v>sufficient</x:v>
      </x:c>
      <x:c r="F6" s="44" t="str">
        <x:v>available</x:v>
      </x:c>
      <x:c r="G6" s="44" t="str">
        <x:v>normal</x:v>
      </x:c>
      <x:c r="H6" s="44" t="str">
        <x:v>call</x:v>
      </x:c>
      <x:c r="I6" s="44" t="str"/>
      <x:c r="J6" s="44" t="str"/>
      <x:c r="K6" s="44" t="str"/>
      <x:c r="L6" s="44" t="str"/>
      <x:c r="M6" s="44" t="str"/>
      <x:c r="N6" s="44" t="str"/>
      <x:c r="O6" s="44" t="str"/>
      <x:c r="P6" s="49" t="str">
        <x:f>IF(AND(C6&lt;&gt;"",D6&lt;&gt;"",E6&lt;&gt;"",F6&lt;&gt;"",G6&lt;&gt;"",H6&lt;&gt;"",J6&lt;&gt;"",K6&lt;&gt;"",L6&lt;&gt;""),"已完成","待填写")</x:f>
        <x:v>待填写</x:v>
      </x:c>
    </x:row>
    <x:row r="7" ht="58" customHeight="1">
      <x:c r="A7" s="41" t="str">
        <x:v>TA-PILOT-013</x:v>
      </x:c>
      <x:c r="B7" s="41" t="str">
        <x:v>实质性分歧</x:v>
      </x:c>
      <x:c r="C7" s="44" t="str">
        <x:v>required</x:v>
      </x:c>
      <x:c r="D7" s="44" t="str">
        <x:v>answerable</x:v>
      </x:c>
      <x:c r="E7" s="44" t="str">
        <x:v>missing_execution_input</x:v>
      </x:c>
      <x:c r="F7" s="44" t="str">
        <x:v>unavailable</x:v>
      </x:c>
      <x:c r="G7" s="44" t="str">
        <x:v>normal</x:v>
      </x:c>
      <x:c r="H7" s="46" t="str"/>
      <x:c r="I7" s="44" t="str"/>
      <x:c r="J7" s="44" t="str"/>
      <x:c r="K7" s="44" t="str"/>
      <x:c r="L7" s="44" t="str"/>
      <x:c r="M7" s="44" t="str"/>
      <x:c r="N7" s="44" t="str"/>
      <x:c r="O7" s="44" t="str"/>
      <x:c r="P7" s="49" t="str">
        <x:f>IF(AND(C7&lt;&gt;"",D7&lt;&gt;"",E7&lt;&gt;"",F7&lt;&gt;"",G7&lt;&gt;"",H7&lt;&gt;"",J7&lt;&gt;"",K7&lt;&gt;"",L7&lt;&gt;""),"已完成","待填写")</x:f>
        <x:v>待填写</x:v>
      </x:c>
    </x:row>
    <x:row r="8" ht="58" customHeight="1">
      <x:c r="A8" s="41" t="str">
        <x:v>TA-PILOT-015</x:v>
      </x:c>
      <x:c r="B8" s="41" t="str">
        <x:v>实质性分歧</x:v>
      </x:c>
      <x:c r="C8" s="44" t="str">
        <x:v>required</x:v>
      </x:c>
      <x:c r="D8" s="44" t="str">
        <x:v>answerable</x:v>
      </x:c>
      <x:c r="E8" s="44" t="str">
        <x:v>missing_execution_input</x:v>
      </x:c>
      <x:c r="F8" s="46" t="str"/>
      <x:c r="G8" s="44" t="str">
        <x:v>review_required</x:v>
      </x:c>
      <x:c r="H8" s="44" t="str">
        <x:v>escalate</x:v>
      </x:c>
      <x:c r="I8" s="44" t="str"/>
      <x:c r="J8" s="44" t="str"/>
      <x:c r="K8" s="44" t="str"/>
      <x:c r="L8" s="44" t="str"/>
      <x:c r="M8" s="44" t="str"/>
      <x:c r="N8" s="44" t="str"/>
      <x:c r="O8" s="44" t="str"/>
      <x:c r="P8" s="49" t="str">
        <x:f>IF(AND(C8&lt;&gt;"",D8&lt;&gt;"",E8&lt;&gt;"",F8&lt;&gt;"",G8&lt;&gt;"",H8&lt;&gt;"",J8&lt;&gt;"",K8&lt;&gt;"",L8&lt;&gt;""),"已完成","待填写")</x:f>
        <x:v>待填写</x:v>
      </x:c>
    </x:row>
    <x:row r="9" ht="58" customHeight="1">
      <x:c r="A9" s="41" t="str">
        <x:v>TA-PILOT-016</x:v>
      </x:c>
      <x:c r="B9" s="41" t="str">
        <x:v>实质性分歧</x:v>
      </x:c>
      <x:c r="C9" s="44" t="str">
        <x:v>none</x:v>
      </x:c>
      <x:c r="D9" s="44" t="str">
        <x:v>answerable</x:v>
      </x:c>
      <x:c r="E9" s="44" t="str">
        <x:v>sufficient</x:v>
      </x:c>
      <x:c r="F9" s="46" t="str"/>
      <x:c r="G9" s="44" t="str">
        <x:v>normal</x:v>
      </x:c>
      <x:c r="H9" s="44" t="str">
        <x:v>answer</x:v>
      </x:c>
      <x:c r="I9" s="44" t="str"/>
      <x:c r="J9" s="44" t="str"/>
      <x:c r="K9" s="44" t="str"/>
      <x:c r="L9" s="44" t="str"/>
      <x:c r="M9" s="44" t="str"/>
      <x:c r="N9" s="44" t="str"/>
      <x:c r="O9" s="44" t="str"/>
      <x:c r="P9" s="49" t="str">
        <x:f>IF(AND(C9&lt;&gt;"",D9&lt;&gt;"",E9&lt;&gt;"",F9&lt;&gt;"",G9&lt;&gt;"",H9&lt;&gt;"",J9&lt;&gt;"",K9&lt;&gt;"",L9&lt;&gt;""),"已完成","待填写")</x:f>
        <x:v>待填写</x:v>
      </x:c>
    </x:row>
    <x:row r="10" ht="58" customHeight="1">
      <x:c r="A10" s="41" t="str">
        <x:v>TA-PILOT-017</x:v>
      </x:c>
      <x:c r="B10" s="41" t="str">
        <x:v>实质性分歧</x:v>
      </x:c>
      <x:c r="C10" s="44" t="str">
        <x:v>required</x:v>
      </x:c>
      <x:c r="D10" s="44" t="str">
        <x:v>ambiguous_request</x:v>
      </x:c>
      <x:c r="E10" s="46" t="str"/>
      <x:c r="F10" s="46" t="str"/>
      <x:c r="G10" s="44" t="str">
        <x:v>normal</x:v>
      </x:c>
      <x:c r="H10" s="44" t="str">
        <x:v>clarify</x:v>
      </x:c>
      <x:c r="I10" s="44" t="str"/>
      <x:c r="J10" s="44" t="str"/>
      <x:c r="K10" s="44" t="str"/>
      <x:c r="L10" s="44" t="str"/>
      <x:c r="M10" s="44" t="str"/>
      <x:c r="N10" s="44" t="str"/>
      <x:c r="O10" s="44" t="str"/>
      <x:c r="P10" s="49" t="str">
        <x:f>IF(AND(C10&lt;&gt;"",D10&lt;&gt;"",E10&lt;&gt;"",F10&lt;&gt;"",G10&lt;&gt;"",H10&lt;&gt;"",J10&lt;&gt;"",K10&lt;&gt;"",L10&lt;&gt;""),"已完成","待填写")</x:f>
        <x:v>待填写</x:v>
      </x:c>
    </x:row>
    <x:row r="11" ht="58" customHeight="1">
      <x:c r="A11" s="41" t="str">
        <x:v>TA-PILOT-018</x:v>
      </x:c>
      <x:c r="B11" s="41" t="str">
        <x:v>实质性分歧</x:v>
      </x:c>
      <x:c r="C11" s="44" t="str">
        <x:v>optional</x:v>
      </x:c>
      <x:c r="D11" s="46" t="str"/>
      <x:c r="E11" s="44" t="str">
        <x:v>missing_execution_input</x:v>
      </x:c>
      <x:c r="F11" s="44" t="str">
        <x:v>available</x:v>
      </x:c>
      <x:c r="G11" s="44" t="str">
        <x:v>normal</x:v>
      </x:c>
      <x:c r="H11" s="46" t="str"/>
      <x:c r="I11" s="44" t="str"/>
      <x:c r="J11" s="44" t="str"/>
      <x:c r="K11" s="44" t="str"/>
      <x:c r="L11" s="44" t="str"/>
      <x:c r="M11" s="44" t="str"/>
      <x:c r="N11" s="44" t="str"/>
      <x:c r="O11" s="44" t="str"/>
      <x:c r="P11" s="49" t="str">
        <x:f>IF(AND(C11&lt;&gt;"",D11&lt;&gt;"",E11&lt;&gt;"",F11&lt;&gt;"",G11&lt;&gt;"",H11&lt;&gt;"",J11&lt;&gt;"",K11&lt;&gt;"",L11&lt;&gt;""),"已完成","待填写")</x:f>
        <x:v>待填写</x:v>
      </x:c>
    </x:row>
    <x:row r="12" ht="58" customHeight="1">
      <x:c r="A12" s="41" t="str">
        <x:v>TA-PILOT-019</x:v>
      </x:c>
      <x:c r="B12" s="41" t="str">
        <x:v>实质性分歧</x:v>
      </x:c>
      <x:c r="C12" s="44" t="str">
        <x:v>required</x:v>
      </x:c>
      <x:c r="D12" s="44" t="str">
        <x:v>answerable</x:v>
      </x:c>
      <x:c r="E12" s="44" t="str">
        <x:v>missing_execution_input</x:v>
      </x:c>
      <x:c r="F12" s="44" t="str">
        <x:v>unavailable</x:v>
      </x:c>
      <x:c r="G12" s="44" t="str">
        <x:v>normal</x:v>
      </x:c>
      <x:c r="H12" s="46" t="str"/>
      <x:c r="I12" s="44" t="str"/>
      <x:c r="J12" s="44" t="str"/>
      <x:c r="K12" s="44" t="str"/>
      <x:c r="L12" s="44" t="str"/>
      <x:c r="M12" s="44" t="str"/>
      <x:c r="N12" s="44" t="str"/>
      <x:c r="O12" s="44" t="str"/>
      <x:c r="P12" s="49" t="str">
        <x:f>IF(AND(C12&lt;&gt;"",D12&lt;&gt;"",E12&lt;&gt;"",F12&lt;&gt;"",G12&lt;&gt;"",H12&lt;&gt;"",J12&lt;&gt;"",K12&lt;&gt;"",L12&lt;&gt;""),"已完成","待填写")</x:f>
        <x:v>待填写</x:v>
      </x:c>
    </x:row>
    <x:row r="13" ht="58" customHeight="1">
      <x:c r="A13" s="42" t="str">
        <x:v>TA-PILOT-020</x:v>
      </x:c>
      <x:c r="B13" s="42" t="str">
        <x:v>实质性分歧</x:v>
      </x:c>
      <x:c r="C13" s="45" t="str">
        <x:v>required</x:v>
      </x:c>
      <x:c r="D13" s="45" t="str">
        <x:v>answerable</x:v>
      </x:c>
      <x:c r="E13" s="45" t="str">
        <x:v>missing_execution_input</x:v>
      </x:c>
      <x:c r="F13" s="45" t="str">
        <x:v>available</x:v>
      </x:c>
      <x:c r="G13" s="45" t="str">
        <x:v>normal</x:v>
      </x:c>
      <x:c r="H13" s="47" t="str"/>
      <x:c r="I13" s="45" t="str"/>
      <x:c r="J13" s="45" t="str"/>
      <x:c r="K13" s="45" t="str"/>
      <x:c r="L13" s="45" t="str"/>
      <x:c r="M13" s="45" t="str"/>
      <x:c r="N13" s="45" t="str"/>
      <x:c r="O13" s="45" t="str"/>
      <x:c r="P13" s="50" t="str">
        <x:f>IF(AND(C13&lt;&gt;"",D13&lt;&gt;"",E13&lt;&gt;"",F13&lt;&gt;"",G13&lt;&gt;"",H13&lt;&gt;"",J13&lt;&gt;"",K13&lt;&gt;"",L13&lt;&gt;""),"已完成","待填写")</x:f>
        <x:v>待填写</x:v>
      </x:c>
    </x:row>
  </x:sheetData>
  <x:conditionalFormatting sqref="P2:P13">
    <x:cfRule type="containsText" dxfId="2" priority="1" operator="containsText" text="已完成"/>
  </x:conditionalFormatting>
  <x:dataValidations count="7">
    <x:dataValidation type="list" sqref="C2:C13">
      <x:formula1>"none,optional,required"</x:formula1>
    </x:dataValidation>
    <x:dataValidation type="list" sqref="D2:D13">
      <x:formula1>"answerable,ambiguous_request,missing_task_information"</x:formula1>
    </x:dataValidation>
    <x:dataValidation type="list" sqref="E2:E13">
      <x:formula1>"sufficient,missing_execution_input,ambiguous_execution_input"</x:formula1>
    </x:dataValidation>
    <x:dataValidation type="list" sqref="F2:F13">
      <x:formula1>"available,unavailable,uncertain"</x:formula1>
    </x:dataValidation>
    <x:dataValidation type="list" sqref="G2:G13">
      <x:formula1>"normal,review_required"</x:formula1>
    </x:dataValidation>
    <x:dataValidation type="list" sqref="K2:K13">
      <x:formula1>"high,medium,low"</x:formula1>
    </x:dataValidation>
    <x:dataValidation type="list" sqref="L2:L13">
      <x:formula1>"需要,不需要,无法判断"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9d922f579d466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18" hidden="0" customWidth="1"/>
    <x:col min="5" max="5" width="34" hidden="0" customWidth="1"/>
    <x:col min="6" max="6" width="34" hidden="0" customWidth="1"/>
    <x:col min="7" max="7" width="16" hidden="0" customWidth="1"/>
    <x:col min="8" max="8" width="18" hidden="0" customWidth="1"/>
  </x:cols>
  <x:sheetData>
    <x:row r="1" ht="32" customHeight="1">
      <x:c r="A1" s="16" t="str">
        <x:v>task_id</x:v>
      </x:c>
      <x:c r="B1" s="29" t="str">
        <x:v>样本类型</x:v>
      </x:c>
      <x:c r="C1" s="29" t="str">
        <x:v>字段</x:v>
      </x:c>
      <x:c r="D1" s="29" t="str">
        <x:v>字段类别</x:v>
      </x:c>
      <x:c r="E1" s="29" t="str">
        <x:v>AI-A</x:v>
      </x:c>
      <x:c r="F1" s="29" t="str">
        <x:v>AI-B</x:v>
      </x:c>
      <x:c r="G1" s="29" t="str">
        <x:v>一致状态</x:v>
      </x:c>
      <x:c r="H1" s="17" t="str">
        <x:v>是否需人工判断</x:v>
      </x:c>
    </x:row>
    <x:row r="2" ht="36" customHeight="1">
      <x:c r="A2" s="37" t="str">
        <x:v>TA-PILOT-001</x:v>
      </x:c>
      <x:c r="B2" s="37" t="str">
        <x:v>一致性抽查</x:v>
      </x:c>
      <x:c r="C2" s="37" t="str">
        <x:v>evidence_requirement</x:v>
      </x:c>
      <x:c r="D2" s="37" t="str">
        <x:v>核心标签</x:v>
      </x:c>
      <x:c r="E2" s="37" t="str">
        <x:v>none</x:v>
      </x:c>
      <x:c r="F2" s="37" t="str">
        <x:v>none</x:v>
      </x:c>
      <x:c r="G2" s="37" t="str">
        <x:v>一致</x:v>
      </x:c>
      <x:c r="H2" s="37" t="str">
        <x:v>核对</x:v>
      </x:c>
    </x:row>
    <x:row r="3" ht="36" customHeight="1">
      <x:c r="A3" s="38" t="str">
        <x:v>TA-PILOT-001</x:v>
      </x:c>
      <x:c r="B3" s="38" t="str">
        <x:v>一致性抽查</x:v>
      </x:c>
      <x:c r="C3" s="38" t="str">
        <x:v>answerability</x:v>
      </x:c>
      <x:c r="D3" s="38" t="str">
        <x:v>核心标签</x:v>
      </x:c>
      <x:c r="E3" s="38" t="str">
        <x:v>answerable</x:v>
      </x:c>
      <x:c r="F3" s="38" t="str">
        <x:v>answerable</x:v>
      </x:c>
      <x:c r="G3" s="38" t="str">
        <x:v>一致</x:v>
      </x:c>
      <x:c r="H3" s="38" t="str">
        <x:v>核对</x:v>
      </x:c>
    </x:row>
    <x:row r="4" ht="36" customHeight="1">
      <x:c r="A4" s="38" t="str">
        <x:v>TA-PILOT-001</x:v>
      </x:c>
      <x:c r="B4" s="38" t="str">
        <x:v>一致性抽查</x:v>
      </x:c>
      <x:c r="C4" s="38" t="str">
        <x:v>information_status</x:v>
      </x:c>
      <x:c r="D4" s="38" t="str">
        <x:v>核心标签</x:v>
      </x:c>
      <x:c r="E4" s="38" t="str">
        <x:v>sufficient</x:v>
      </x:c>
      <x:c r="F4" s="38" t="str">
        <x:v>sufficient</x:v>
      </x:c>
      <x:c r="G4" s="38" t="str">
        <x:v>一致</x:v>
      </x:c>
      <x:c r="H4" s="38" t="str">
        <x:v>核对</x:v>
      </x:c>
    </x:row>
    <x:row r="5" ht="36" customHeight="1">
      <x:c r="A5" s="38" t="str">
        <x:v>TA-PILOT-001</x:v>
      </x:c>
      <x:c r="B5" s="38" t="str">
        <x:v>一致性抽查</x:v>
      </x:c>
      <x:c r="C5" s="38" t="str">
        <x:v>capability_status</x:v>
      </x:c>
      <x:c r="D5" s="38" t="str">
        <x:v>核心标签</x:v>
      </x:c>
      <x:c r="E5" s="38" t="str">
        <x:v>available</x:v>
      </x:c>
      <x:c r="F5" s="38" t="str">
        <x:v>available</x:v>
      </x:c>
      <x:c r="G5" s="38" t="str">
        <x:v>一致</x:v>
      </x:c>
      <x:c r="H5" s="38" t="str">
        <x:v>核对</x:v>
      </x:c>
    </x:row>
    <x:row r="6" ht="36" customHeight="1">
      <x:c r="A6" s="38" t="str">
        <x:v>TA-PILOT-001</x:v>
      </x:c>
      <x:c r="B6" s="38" t="str">
        <x:v>一致性抽查</x:v>
      </x:c>
      <x:c r="C6" s="38" t="str">
        <x:v>risk_status</x:v>
      </x:c>
      <x:c r="D6" s="38" t="str">
        <x:v>核心标签</x:v>
      </x:c>
      <x:c r="E6" s="38" t="str">
        <x:v>normal</x:v>
      </x:c>
      <x:c r="F6" s="38" t="str">
        <x:v>normal</x:v>
      </x:c>
      <x:c r="G6" s="38" t="str">
        <x:v>一致</x:v>
      </x:c>
      <x:c r="H6" s="38" t="str">
        <x:v>核对</x:v>
      </x:c>
    </x:row>
    <x:row r="7" ht="36" customHeight="1">
      <x:c r="A7" s="38" t="str">
        <x:v>TA-PILOT-001</x:v>
      </x:c>
      <x:c r="B7" s="38" t="str">
        <x:v>一致性抽查</x:v>
      </x:c>
      <x:c r="C7" s="38" t="str">
        <x:v>allowed_actions</x:v>
      </x:c>
      <x:c r="D7" s="38" t="str">
        <x:v>动作标签</x:v>
      </x:c>
      <x:c r="E7" s="38" t="str">
        <x:v>answer</x:v>
      </x:c>
      <x:c r="F7" s="38" t="str">
        <x:v>answer</x:v>
      </x:c>
      <x:c r="G7" s="38" t="str">
        <x:v>一致</x:v>
      </x:c>
      <x:c r="H7" s="38" t="str">
        <x:v>核对</x:v>
      </x:c>
    </x:row>
    <x:row r="8" ht="36" customHeight="1">
      <x:c r="A8" s="38" t="str">
        <x:v>TA-PILOT-001</x:v>
      </x:c>
      <x:c r="B8" s="38" t="str">
        <x:v>一致性抽查</x:v>
      </x:c>
      <x:c r="C8" s="38" t="str">
        <x:v>boundary_flags</x:v>
      </x:c>
      <x:c r="D8" s="38" t="str">
        <x:v>解释性标签</x:v>
      </x:c>
      <x:c r="E8" s="38" t="str"/>
      <x:c r="F8" s="38" t="str"/>
      <x:c r="G8" s="38" t="str">
        <x:v>一致</x:v>
      </x:c>
      <x:c r="H8" s="38" t="str">
        <x:v>不强制</x:v>
      </x:c>
    </x:row>
    <x:row r="9" ht="36" customHeight="1">
      <x:c r="A9" s="38" t="str">
        <x:v>TA-PILOT-002</x:v>
      </x:c>
      <x:c r="B9" s="38" t="str">
        <x:v>一致性抽查</x:v>
      </x:c>
      <x:c r="C9" s="38" t="str">
        <x:v>evidence_requirement</x:v>
      </x:c>
      <x:c r="D9" s="38" t="str">
        <x:v>核心标签</x:v>
      </x:c>
      <x:c r="E9" s="38" t="str">
        <x:v>optional</x:v>
      </x:c>
      <x:c r="F9" s="38" t="str">
        <x:v>optional</x:v>
      </x:c>
      <x:c r="G9" s="38" t="str">
        <x:v>一致</x:v>
      </x:c>
      <x:c r="H9" s="38" t="str">
        <x:v>核对</x:v>
      </x:c>
    </x:row>
    <x:row r="10" ht="36" customHeight="1">
      <x:c r="A10" s="38" t="str">
        <x:v>TA-PILOT-002</x:v>
      </x:c>
      <x:c r="B10" s="38" t="str">
        <x:v>一致性抽查</x:v>
      </x:c>
      <x:c r="C10" s="38" t="str">
        <x:v>answerability</x:v>
      </x:c>
      <x:c r="D10" s="38" t="str">
        <x:v>核心标签</x:v>
      </x:c>
      <x:c r="E10" s="38" t="str">
        <x:v>answerable</x:v>
      </x:c>
      <x:c r="F10" s="38" t="str">
        <x:v>answerable</x:v>
      </x:c>
      <x:c r="G10" s="38" t="str">
        <x:v>一致</x:v>
      </x:c>
      <x:c r="H10" s="38" t="str">
        <x:v>核对</x:v>
      </x:c>
    </x:row>
    <x:row r="11" ht="36" customHeight="1">
      <x:c r="A11" s="38" t="str">
        <x:v>TA-PILOT-002</x:v>
      </x:c>
      <x:c r="B11" s="38" t="str">
        <x:v>一致性抽查</x:v>
      </x:c>
      <x:c r="C11" s="38" t="str">
        <x:v>information_status</x:v>
      </x:c>
      <x:c r="D11" s="38" t="str">
        <x:v>核心标签</x:v>
      </x:c>
      <x:c r="E11" s="38" t="str">
        <x:v>sufficient</x:v>
      </x:c>
      <x:c r="F11" s="38" t="str">
        <x:v>sufficient</x:v>
      </x:c>
      <x:c r="G11" s="38" t="str">
        <x:v>一致</x:v>
      </x:c>
      <x:c r="H11" s="38" t="str">
        <x:v>核对</x:v>
      </x:c>
    </x:row>
    <x:row r="12" ht="36" customHeight="1">
      <x:c r="A12" s="38" t="str">
        <x:v>TA-PILOT-002</x:v>
      </x:c>
      <x:c r="B12" s="38" t="str">
        <x:v>一致性抽查</x:v>
      </x:c>
      <x:c r="C12" s="38" t="str">
        <x:v>capability_status</x:v>
      </x:c>
      <x:c r="D12" s="38" t="str">
        <x:v>核心标签</x:v>
      </x:c>
      <x:c r="E12" s="38" t="str">
        <x:v>available</x:v>
      </x:c>
      <x:c r="F12" s="38" t="str">
        <x:v>available</x:v>
      </x:c>
      <x:c r="G12" s="38" t="str">
        <x:v>一致</x:v>
      </x:c>
      <x:c r="H12" s="38" t="str">
        <x:v>核对</x:v>
      </x:c>
    </x:row>
    <x:row r="13" ht="36" customHeight="1">
      <x:c r="A13" s="38" t="str">
        <x:v>TA-PILOT-002</x:v>
      </x:c>
      <x:c r="B13" s="38" t="str">
        <x:v>一致性抽查</x:v>
      </x:c>
      <x:c r="C13" s="38" t="str">
        <x:v>risk_status</x:v>
      </x:c>
      <x:c r="D13" s="38" t="str">
        <x:v>核心标签</x:v>
      </x:c>
      <x:c r="E13" s="38" t="str">
        <x:v>normal</x:v>
      </x:c>
      <x:c r="F13" s="38" t="str">
        <x:v>normal</x:v>
      </x:c>
      <x:c r="G13" s="38" t="str">
        <x:v>一致</x:v>
      </x:c>
      <x:c r="H13" s="38" t="str">
        <x:v>核对</x:v>
      </x:c>
    </x:row>
    <x:row r="14" ht="36" customHeight="1">
      <x:c r="A14" s="38" t="str">
        <x:v>TA-PILOT-002</x:v>
      </x:c>
      <x:c r="B14" s="38" t="str">
        <x:v>一致性抽查</x:v>
      </x:c>
      <x:c r="C14" s="38" t="str">
        <x:v>allowed_actions</x:v>
      </x:c>
      <x:c r="D14" s="38" t="str">
        <x:v>动作标签</x:v>
      </x:c>
      <x:c r="E14" s="38" t="str">
        <x:v>answer | call</x:v>
      </x:c>
      <x:c r="F14" s="38" t="str">
        <x:v>answer | call</x:v>
      </x:c>
      <x:c r="G14" s="38" t="str">
        <x:v>一致</x:v>
      </x:c>
      <x:c r="H14" s="38" t="str">
        <x:v>核对</x:v>
      </x:c>
    </x:row>
    <x:row r="15" ht="36" customHeight="1">
      <x:c r="A15" s="38" t="str">
        <x:v>TA-PILOT-002</x:v>
      </x:c>
      <x:c r="B15" s="38" t="str">
        <x:v>一致性抽查</x:v>
      </x:c>
      <x:c r="C15" s="38" t="str">
        <x:v>boundary_flags</x:v>
      </x:c>
      <x:c r="D15" s="38" t="str">
        <x:v>解释性标签</x:v>
      </x:c>
      <x:c r="E15" s="38" t="str"/>
      <x:c r="F15" s="38" t="str"/>
      <x:c r="G15" s="38" t="str">
        <x:v>一致</x:v>
      </x:c>
      <x:c r="H15" s="38" t="str">
        <x:v>不强制</x:v>
      </x:c>
    </x:row>
    <x:row r="16" ht="36" customHeight="1">
      <x:c r="A16" s="38" t="str">
        <x:v>TA-PILOT-003</x:v>
      </x:c>
      <x:c r="B16" s="38" t="str">
        <x:v>实质性分歧</x:v>
      </x:c>
      <x:c r="C16" s="38" t="str">
        <x:v>evidence_requirement</x:v>
      </x:c>
      <x:c r="D16" s="38" t="str">
        <x:v>核心标签</x:v>
      </x:c>
      <x:c r="E16" s="38" t="str">
        <x:v>required</x:v>
      </x:c>
      <x:c r="F16" s="38" t="str">
        <x:v>required</x:v>
      </x:c>
      <x:c r="G16" s="38" t="str">
        <x:v>一致</x:v>
      </x:c>
      <x:c r="H16" s="38" t="str">
        <x:v>核对</x:v>
      </x:c>
    </x:row>
    <x:row r="17" ht="36" customHeight="1">
      <x:c r="A17" s="38" t="str">
        <x:v>TA-PILOT-003</x:v>
      </x:c>
      <x:c r="B17" s="38" t="str">
        <x:v>实质性分歧</x:v>
      </x:c>
      <x:c r="C17" s="38" t="str">
        <x:v>answerability</x:v>
      </x:c>
      <x:c r="D17" s="38" t="str">
        <x:v>核心标签</x:v>
      </x:c>
      <x:c r="E17" s="38" t="str">
        <x:v>answerable</x:v>
      </x:c>
      <x:c r="F17" s="38" t="str">
        <x:v>answerable</x:v>
      </x:c>
      <x:c r="G17" s="38" t="str">
        <x:v>一致</x:v>
      </x:c>
      <x:c r="H17" s="38" t="str">
        <x:v>核对</x:v>
      </x:c>
    </x:row>
    <x:row r="18" ht="36" customHeight="1">
      <x:c r="A18" s="38" t="str">
        <x:v>TA-PILOT-003</x:v>
      </x:c>
      <x:c r="B18" s="38" t="str">
        <x:v>实质性分歧</x:v>
      </x:c>
      <x:c r="C18" s="38" t="str">
        <x:v>information_status</x:v>
      </x:c>
      <x:c r="D18" s="38" t="str">
        <x:v>核心标签</x:v>
      </x:c>
      <x:c r="E18" s="38" t="str">
        <x:v>sufficient</x:v>
      </x:c>
      <x:c r="F18" s="38" t="str">
        <x:v>sufficient</x:v>
      </x:c>
      <x:c r="G18" s="38" t="str">
        <x:v>一致</x:v>
      </x:c>
      <x:c r="H18" s="38" t="str">
        <x:v>核对</x:v>
      </x:c>
    </x:row>
    <x:row r="19" ht="36" customHeight="1">
      <x:c r="A19" s="38" t="str">
        <x:v>TA-PILOT-003</x:v>
      </x:c>
      <x:c r="B19" s="38" t="str">
        <x:v>实质性分歧</x:v>
      </x:c>
      <x:c r="C19" s="38" t="str">
        <x:v>capability_status</x:v>
      </x:c>
      <x:c r="D19" s="38" t="str">
        <x:v>核心标签</x:v>
      </x:c>
      <x:c r="E19" s="38" t="str">
        <x:v>available</x:v>
      </x:c>
      <x:c r="F19" s="38" t="str">
        <x:v>uncertain</x:v>
      </x:c>
      <x:c r="G19" s="38" t="str">
        <x:v>分歧</x:v>
      </x:c>
      <x:c r="H19" s="38" t="str">
        <x:v>需要</x:v>
      </x:c>
    </x:row>
    <x:row r="20" ht="36" customHeight="1">
      <x:c r="A20" s="38" t="str">
        <x:v>TA-PILOT-003</x:v>
      </x:c>
      <x:c r="B20" s="38" t="str">
        <x:v>实质性分歧</x:v>
      </x:c>
      <x:c r="C20" s="38" t="str">
        <x:v>risk_status</x:v>
      </x:c>
      <x:c r="D20" s="38" t="str">
        <x:v>核心标签</x:v>
      </x:c>
      <x:c r="E20" s="38" t="str">
        <x:v>normal</x:v>
      </x:c>
      <x:c r="F20" s="38" t="str">
        <x:v>normal</x:v>
      </x:c>
      <x:c r="G20" s="38" t="str">
        <x:v>一致</x:v>
      </x:c>
      <x:c r="H20" s="38" t="str">
        <x:v>核对</x:v>
      </x:c>
    </x:row>
    <x:row r="21" ht="36" customHeight="1">
      <x:c r="A21" s="38" t="str">
        <x:v>TA-PILOT-003</x:v>
      </x:c>
      <x:c r="B21" s="38" t="str">
        <x:v>实质性分歧</x:v>
      </x:c>
      <x:c r="C21" s="38" t="str">
        <x:v>allowed_actions</x:v>
      </x:c>
      <x:c r="D21" s="38" t="str">
        <x:v>动作标签</x:v>
      </x:c>
      <x:c r="E21" s="38" t="str">
        <x:v>call</x:v>
      </x:c>
      <x:c r="F21" s="38" t="str">
        <x:v>call</x:v>
      </x:c>
      <x:c r="G21" s="38" t="str">
        <x:v>一致</x:v>
      </x:c>
      <x:c r="H21" s="38" t="str">
        <x:v>核对</x:v>
      </x:c>
    </x:row>
    <x:row r="22" ht="36" customHeight="1">
      <x:c r="A22" s="38" t="str">
        <x:v>TA-PILOT-003</x:v>
      </x:c>
      <x:c r="B22" s="38" t="str">
        <x:v>实质性分歧</x:v>
      </x:c>
      <x:c r="C22" s="38" t="str">
        <x:v>boundary_flags</x:v>
      </x:c>
      <x:c r="D22" s="38" t="str">
        <x:v>解释性标签</x:v>
      </x:c>
      <x:c r="E22" s="38" t="str"/>
      <x:c r="F22" s="38" t="str"/>
      <x:c r="G22" s="38" t="str">
        <x:v>一致</x:v>
      </x:c>
      <x:c r="H22" s="38" t="str">
        <x:v>不强制</x:v>
      </x:c>
    </x:row>
    <x:row r="23" ht="36" customHeight="1">
      <x:c r="A23" s="38" t="str">
        <x:v>TA-PILOT-004</x:v>
      </x:c>
      <x:c r="B23" s="38" t="str">
        <x:v>实质性分歧</x:v>
      </x:c>
      <x:c r="C23" s="38" t="str">
        <x:v>evidence_requirement</x:v>
      </x:c>
      <x:c r="D23" s="38" t="str">
        <x:v>核心标签</x:v>
      </x:c>
      <x:c r="E23" s="38" t="str">
        <x:v>required</x:v>
      </x:c>
      <x:c r="F23" s="38" t="str">
        <x:v>required</x:v>
      </x:c>
      <x:c r="G23" s="38" t="str">
        <x:v>一致</x:v>
      </x:c>
      <x:c r="H23" s="38" t="str">
        <x:v>核对</x:v>
      </x:c>
    </x:row>
    <x:row r="24" ht="36" customHeight="1">
      <x:c r="A24" s="38" t="str">
        <x:v>TA-PILOT-004</x:v>
      </x:c>
      <x:c r="B24" s="38" t="str">
        <x:v>实质性分歧</x:v>
      </x:c>
      <x:c r="C24" s="38" t="str">
        <x:v>answerability</x:v>
      </x:c>
      <x:c r="D24" s="38" t="str">
        <x:v>核心标签</x:v>
      </x:c>
      <x:c r="E24" s="38" t="str">
        <x:v>answerable</x:v>
      </x:c>
      <x:c r="F24" s="38" t="str">
        <x:v>answerable</x:v>
      </x:c>
      <x:c r="G24" s="38" t="str">
        <x:v>一致</x:v>
      </x:c>
      <x:c r="H24" s="38" t="str">
        <x:v>核对</x:v>
      </x:c>
    </x:row>
    <x:row r="25" ht="36" customHeight="1">
      <x:c r="A25" s="38" t="str">
        <x:v>TA-PILOT-004</x:v>
      </x:c>
      <x:c r="B25" s="38" t="str">
        <x:v>实质性分歧</x:v>
      </x:c>
      <x:c r="C25" s="38" t="str">
        <x:v>information_status</x:v>
      </x:c>
      <x:c r="D25" s="38" t="str">
        <x:v>核心标签</x:v>
      </x:c>
      <x:c r="E25" s="38" t="str">
        <x:v>missing_execution_input</x:v>
      </x:c>
      <x:c r="F25" s="38" t="str">
        <x:v>missing_execution_input</x:v>
      </x:c>
      <x:c r="G25" s="38" t="str">
        <x:v>一致</x:v>
      </x:c>
      <x:c r="H25" s="38" t="str">
        <x:v>核对</x:v>
      </x:c>
    </x:row>
    <x:row r="26" ht="36" customHeight="1">
      <x:c r="A26" s="38" t="str">
        <x:v>TA-PILOT-004</x:v>
      </x:c>
      <x:c r="B26" s="38" t="str">
        <x:v>实质性分歧</x:v>
      </x:c>
      <x:c r="C26" s="38" t="str">
        <x:v>capability_status</x:v>
      </x:c>
      <x:c r="D26" s="38" t="str">
        <x:v>核心标签</x:v>
      </x:c>
      <x:c r="E26" s="38" t="str">
        <x:v>available</x:v>
      </x:c>
      <x:c r="F26" s="38" t="str">
        <x:v>uncertain</x:v>
      </x:c>
      <x:c r="G26" s="38" t="str">
        <x:v>分歧</x:v>
      </x:c>
      <x:c r="H26" s="38" t="str">
        <x:v>需要</x:v>
      </x:c>
    </x:row>
    <x:row r="27" ht="36" customHeight="1">
      <x:c r="A27" s="38" t="str">
        <x:v>TA-PILOT-004</x:v>
      </x:c>
      <x:c r="B27" s="38" t="str">
        <x:v>实质性分歧</x:v>
      </x:c>
      <x:c r="C27" s="38" t="str">
        <x:v>risk_status</x:v>
      </x:c>
      <x:c r="D27" s="38" t="str">
        <x:v>核心标签</x:v>
      </x:c>
      <x:c r="E27" s="38" t="str">
        <x:v>review_required</x:v>
      </x:c>
      <x:c r="F27" s="38" t="str">
        <x:v>review_required</x:v>
      </x:c>
      <x:c r="G27" s="38" t="str">
        <x:v>一致</x:v>
      </x:c>
      <x:c r="H27" s="38" t="str">
        <x:v>核对</x:v>
      </x:c>
    </x:row>
    <x:row r="28" ht="36" customHeight="1">
      <x:c r="A28" s="38" t="str">
        <x:v>TA-PILOT-004</x:v>
      </x:c>
      <x:c r="B28" s="38" t="str">
        <x:v>实质性分歧</x:v>
      </x:c>
      <x:c r="C28" s="38" t="str">
        <x:v>allowed_actions</x:v>
      </x:c>
      <x:c r="D28" s="38" t="str">
        <x:v>动作标签</x:v>
      </x:c>
      <x:c r="E28" s="38" t="str">
        <x:v>escalate</x:v>
      </x:c>
      <x:c r="F28" s="38" t="str">
        <x:v>escalate</x:v>
      </x:c>
      <x:c r="G28" s="38" t="str">
        <x:v>一致</x:v>
      </x:c>
      <x:c r="H28" s="38" t="str">
        <x:v>核对</x:v>
      </x:c>
    </x:row>
    <x:row r="29" ht="36" customHeight="1">
      <x:c r="A29" s="38" t="str">
        <x:v>TA-PILOT-004</x:v>
      </x:c>
      <x:c r="B29" s="38" t="str">
        <x:v>实质性分歧</x:v>
      </x:c>
      <x:c r="C29" s="38" t="str">
        <x:v>boundary_flags</x:v>
      </x:c>
      <x:c r="D29" s="38" t="str">
        <x:v>解释性标签</x:v>
      </x:c>
      <x:c r="E29" s="38" t="str">
        <x:v>high_risk | missing_parameter | permission_required</x:v>
      </x:c>
      <x:c r="F29" s="38" t="str">
        <x:v>high_risk | missing_execution_info | missing_parameter | permission_required</x:v>
      </x:c>
      <x:c r="G29" s="38" t="str">
        <x:v>不同</x:v>
      </x:c>
      <x:c r="H29" s="38" t="str">
        <x:v>不强制</x:v>
      </x:c>
    </x:row>
    <x:row r="30" ht="36" customHeight="1">
      <x:c r="A30" s="38" t="str">
        <x:v>TA-PILOT-006</x:v>
      </x:c>
      <x:c r="B30" s="38" t="str">
        <x:v>一致性抽查</x:v>
      </x:c>
      <x:c r="C30" s="38" t="str">
        <x:v>evidence_requirement</x:v>
      </x:c>
      <x:c r="D30" s="38" t="str">
        <x:v>核心标签</x:v>
      </x:c>
      <x:c r="E30" s="38" t="str">
        <x:v>required</x:v>
      </x:c>
      <x:c r="F30" s="38" t="str">
        <x:v>required</x:v>
      </x:c>
      <x:c r="G30" s="38" t="str">
        <x:v>一致</x:v>
      </x:c>
      <x:c r="H30" s="38" t="str">
        <x:v>核对</x:v>
      </x:c>
    </x:row>
    <x:row r="31" ht="36" customHeight="1">
      <x:c r="A31" s="38" t="str">
        <x:v>TA-PILOT-006</x:v>
      </x:c>
      <x:c r="B31" s="38" t="str">
        <x:v>一致性抽查</x:v>
      </x:c>
      <x:c r="C31" s="38" t="str">
        <x:v>answerability</x:v>
      </x:c>
      <x:c r="D31" s="38" t="str">
        <x:v>核心标签</x:v>
      </x:c>
      <x:c r="E31" s="38" t="str">
        <x:v>answerable</x:v>
      </x:c>
      <x:c r="F31" s="38" t="str">
        <x:v>answerable</x:v>
      </x:c>
      <x:c r="G31" s="38" t="str">
        <x:v>一致</x:v>
      </x:c>
      <x:c r="H31" s="38" t="str">
        <x:v>核对</x:v>
      </x:c>
    </x:row>
    <x:row r="32" ht="36" customHeight="1">
      <x:c r="A32" s="38" t="str">
        <x:v>TA-PILOT-006</x:v>
      </x:c>
      <x:c r="B32" s="38" t="str">
        <x:v>一致性抽查</x:v>
      </x:c>
      <x:c r="C32" s="38" t="str">
        <x:v>information_status</x:v>
      </x:c>
      <x:c r="D32" s="38" t="str">
        <x:v>核心标签</x:v>
      </x:c>
      <x:c r="E32" s="38" t="str">
        <x:v>sufficient</x:v>
      </x:c>
      <x:c r="F32" s="38" t="str">
        <x:v>sufficient</x:v>
      </x:c>
      <x:c r="G32" s="38" t="str">
        <x:v>一致</x:v>
      </x:c>
      <x:c r="H32" s="38" t="str">
        <x:v>核对</x:v>
      </x:c>
    </x:row>
    <x:row r="33" ht="36" customHeight="1">
      <x:c r="A33" s="38" t="str">
        <x:v>TA-PILOT-006</x:v>
      </x:c>
      <x:c r="B33" s="38" t="str">
        <x:v>一致性抽查</x:v>
      </x:c>
      <x:c r="C33" s="38" t="str">
        <x:v>capability_status</x:v>
      </x:c>
      <x:c r="D33" s="38" t="str">
        <x:v>核心标签</x:v>
      </x:c>
      <x:c r="E33" s="38" t="str">
        <x:v>available</x:v>
      </x:c>
      <x:c r="F33" s="38" t="str">
        <x:v>available</x:v>
      </x:c>
      <x:c r="G33" s="38" t="str">
        <x:v>一致</x:v>
      </x:c>
      <x:c r="H33" s="38" t="str">
        <x:v>核对</x:v>
      </x:c>
    </x:row>
    <x:row r="34" ht="36" customHeight="1">
      <x:c r="A34" s="38" t="str">
        <x:v>TA-PILOT-006</x:v>
      </x:c>
      <x:c r="B34" s="38" t="str">
        <x:v>一致性抽查</x:v>
      </x:c>
      <x:c r="C34" s="38" t="str">
        <x:v>risk_status</x:v>
      </x:c>
      <x:c r="D34" s="38" t="str">
        <x:v>核心标签</x:v>
      </x:c>
      <x:c r="E34" s="38" t="str">
        <x:v>normal</x:v>
      </x:c>
      <x:c r="F34" s="38" t="str">
        <x:v>normal</x:v>
      </x:c>
      <x:c r="G34" s="38" t="str">
        <x:v>一致</x:v>
      </x:c>
      <x:c r="H34" s="38" t="str">
        <x:v>核对</x:v>
      </x:c>
    </x:row>
    <x:row r="35" ht="36" customHeight="1">
      <x:c r="A35" s="38" t="str">
        <x:v>TA-PILOT-006</x:v>
      </x:c>
      <x:c r="B35" s="38" t="str">
        <x:v>一致性抽查</x:v>
      </x:c>
      <x:c r="C35" s="38" t="str">
        <x:v>allowed_actions</x:v>
      </x:c>
      <x:c r="D35" s="38" t="str">
        <x:v>动作标签</x:v>
      </x:c>
      <x:c r="E35" s="38" t="str">
        <x:v>call</x:v>
      </x:c>
      <x:c r="F35" s="38" t="str">
        <x:v>call</x:v>
      </x:c>
      <x:c r="G35" s="38" t="str">
        <x:v>一致</x:v>
      </x:c>
      <x:c r="H35" s="38" t="str">
        <x:v>核对</x:v>
      </x:c>
    </x:row>
    <x:row r="36" ht="36" customHeight="1">
      <x:c r="A36" s="38" t="str">
        <x:v>TA-PILOT-006</x:v>
      </x:c>
      <x:c r="B36" s="38" t="str">
        <x:v>一致性抽查</x:v>
      </x:c>
      <x:c r="C36" s="38" t="str">
        <x:v>boundary_flags</x:v>
      </x:c>
      <x:c r="D36" s="38" t="str">
        <x:v>解释性标签</x:v>
      </x:c>
      <x:c r="E36" s="38" t="str"/>
      <x:c r="F36" s="38" t="str"/>
      <x:c r="G36" s="38" t="str">
        <x:v>一致</x:v>
      </x:c>
      <x:c r="H36" s="38" t="str">
        <x:v>不强制</x:v>
      </x:c>
    </x:row>
    <x:row r="37" ht="36" customHeight="1">
      <x:c r="A37" s="38" t="str">
        <x:v>TA-PILOT-013</x:v>
      </x:c>
      <x:c r="B37" s="38" t="str">
        <x:v>实质性分歧</x:v>
      </x:c>
      <x:c r="C37" s="38" t="str">
        <x:v>evidence_requirement</x:v>
      </x:c>
      <x:c r="D37" s="38" t="str">
        <x:v>核心标签</x:v>
      </x:c>
      <x:c r="E37" s="38" t="str">
        <x:v>required</x:v>
      </x:c>
      <x:c r="F37" s="38" t="str">
        <x:v>required</x:v>
      </x:c>
      <x:c r="G37" s="38" t="str">
        <x:v>一致</x:v>
      </x:c>
      <x:c r="H37" s="38" t="str">
        <x:v>核对</x:v>
      </x:c>
    </x:row>
    <x:row r="38" ht="36" customHeight="1">
      <x:c r="A38" s="38" t="str">
        <x:v>TA-PILOT-013</x:v>
      </x:c>
      <x:c r="B38" s="38" t="str">
        <x:v>实质性分歧</x:v>
      </x:c>
      <x:c r="C38" s="38" t="str">
        <x:v>answerability</x:v>
      </x:c>
      <x:c r="D38" s="38" t="str">
        <x:v>核心标签</x:v>
      </x:c>
      <x:c r="E38" s="38" t="str">
        <x:v>answerable</x:v>
      </x:c>
      <x:c r="F38" s="38" t="str">
        <x:v>answerable</x:v>
      </x:c>
      <x:c r="G38" s="38" t="str">
        <x:v>一致</x:v>
      </x:c>
      <x:c r="H38" s="38" t="str">
        <x:v>核对</x:v>
      </x:c>
    </x:row>
    <x:row r="39" ht="36" customHeight="1">
      <x:c r="A39" s="38" t="str">
        <x:v>TA-PILOT-013</x:v>
      </x:c>
      <x:c r="B39" s="38" t="str">
        <x:v>实质性分歧</x:v>
      </x:c>
      <x:c r="C39" s="38" t="str">
        <x:v>information_status</x:v>
      </x:c>
      <x:c r="D39" s="38" t="str">
        <x:v>核心标签</x:v>
      </x:c>
      <x:c r="E39" s="38" t="str">
        <x:v>missing_execution_input</x:v>
      </x:c>
      <x:c r="F39" s="38" t="str">
        <x:v>missing_execution_input</x:v>
      </x:c>
      <x:c r="G39" s="38" t="str">
        <x:v>一致</x:v>
      </x:c>
      <x:c r="H39" s="38" t="str">
        <x:v>核对</x:v>
      </x:c>
    </x:row>
    <x:row r="40" ht="36" customHeight="1">
      <x:c r="A40" s="38" t="str">
        <x:v>TA-PILOT-013</x:v>
      </x:c>
      <x:c r="B40" s="38" t="str">
        <x:v>实质性分歧</x:v>
      </x:c>
      <x:c r="C40" s="38" t="str">
        <x:v>capability_status</x:v>
      </x:c>
      <x:c r="D40" s="38" t="str">
        <x:v>核心标签</x:v>
      </x:c>
      <x:c r="E40" s="38" t="str">
        <x:v>unavailable</x:v>
      </x:c>
      <x:c r="F40" s="38" t="str">
        <x:v>unavailable</x:v>
      </x:c>
      <x:c r="G40" s="38" t="str">
        <x:v>一致</x:v>
      </x:c>
      <x:c r="H40" s="38" t="str">
        <x:v>核对</x:v>
      </x:c>
    </x:row>
    <x:row r="41" ht="36" customHeight="1">
      <x:c r="A41" s="38" t="str">
        <x:v>TA-PILOT-013</x:v>
      </x:c>
      <x:c r="B41" s="38" t="str">
        <x:v>实质性分歧</x:v>
      </x:c>
      <x:c r="C41" s="38" t="str">
        <x:v>risk_status</x:v>
      </x:c>
      <x:c r="D41" s="38" t="str">
        <x:v>核心标签</x:v>
      </x:c>
      <x:c r="E41" s="38" t="str">
        <x:v>normal</x:v>
      </x:c>
      <x:c r="F41" s="38" t="str">
        <x:v>normal</x:v>
      </x:c>
      <x:c r="G41" s="38" t="str">
        <x:v>一致</x:v>
      </x:c>
      <x:c r="H41" s="38" t="str">
        <x:v>核对</x:v>
      </x:c>
    </x:row>
    <x:row r="42" ht="36" customHeight="1">
      <x:c r="A42" s="38" t="str">
        <x:v>TA-PILOT-013</x:v>
      </x:c>
      <x:c r="B42" s="38" t="str">
        <x:v>实质性分歧</x:v>
      </x:c>
      <x:c r="C42" s="38" t="str">
        <x:v>allowed_actions</x:v>
      </x:c>
      <x:c r="D42" s="38" t="str">
        <x:v>动作标签</x:v>
      </x:c>
      <x:c r="E42" s="38" t="str">
        <x:v>refuse</x:v>
      </x:c>
      <x:c r="F42" s="38" t="str">
        <x:v>clarify</x:v>
      </x:c>
      <x:c r="G42" s="38" t="str">
        <x:v>分歧</x:v>
      </x:c>
      <x:c r="H42" s="38" t="str">
        <x:v>需要</x:v>
      </x:c>
    </x:row>
    <x:row r="43" ht="36" customHeight="1">
      <x:c r="A43" s="38" t="str">
        <x:v>TA-PILOT-013</x:v>
      </x:c>
      <x:c r="B43" s="38" t="str">
        <x:v>实质性分歧</x:v>
      </x:c>
      <x:c r="C43" s="38" t="str">
        <x:v>boundary_flags</x:v>
      </x:c>
      <x:c r="D43" s="38" t="str">
        <x:v>解释性标签</x:v>
      </x:c>
      <x:c r="E43" s="38" t="str">
        <x:v>capability_unavailable | missing_execution_info | out_of_domain</x:v>
      </x:c>
      <x:c r="F43" s="38" t="str">
        <x:v>capability_unavailable | missing_execution_info | missing_parameter | out_of_domain | unsupported_system</x:v>
      </x:c>
      <x:c r="G43" s="38" t="str">
        <x:v>不同</x:v>
      </x:c>
      <x:c r="H43" s="38" t="str">
        <x:v>不强制</x:v>
      </x:c>
    </x:row>
    <x:row r="44" ht="36" customHeight="1">
      <x:c r="A44" s="38" t="str">
        <x:v>TA-PILOT-015</x:v>
      </x:c>
      <x:c r="B44" s="38" t="str">
        <x:v>实质性分歧</x:v>
      </x:c>
      <x:c r="C44" s="38" t="str">
        <x:v>evidence_requirement</x:v>
      </x:c>
      <x:c r="D44" s="38" t="str">
        <x:v>核心标签</x:v>
      </x:c>
      <x:c r="E44" s="38" t="str">
        <x:v>required</x:v>
      </x:c>
      <x:c r="F44" s="38" t="str">
        <x:v>required</x:v>
      </x:c>
      <x:c r="G44" s="38" t="str">
        <x:v>一致</x:v>
      </x:c>
      <x:c r="H44" s="38" t="str">
        <x:v>核对</x:v>
      </x:c>
    </x:row>
    <x:row r="45" ht="36" customHeight="1">
      <x:c r="A45" s="38" t="str">
        <x:v>TA-PILOT-015</x:v>
      </x:c>
      <x:c r="B45" s="38" t="str">
        <x:v>实质性分歧</x:v>
      </x:c>
      <x:c r="C45" s="38" t="str">
        <x:v>answerability</x:v>
      </x:c>
      <x:c r="D45" s="38" t="str">
        <x:v>核心标签</x:v>
      </x:c>
      <x:c r="E45" s="38" t="str">
        <x:v>answerable</x:v>
      </x:c>
      <x:c r="F45" s="38" t="str">
        <x:v>answerable</x:v>
      </x:c>
      <x:c r="G45" s="38" t="str">
        <x:v>一致</x:v>
      </x:c>
      <x:c r="H45" s="38" t="str">
        <x:v>核对</x:v>
      </x:c>
    </x:row>
    <x:row r="46" ht="36" customHeight="1">
      <x:c r="A46" s="38" t="str">
        <x:v>TA-PILOT-015</x:v>
      </x:c>
      <x:c r="B46" s="38" t="str">
        <x:v>实质性分歧</x:v>
      </x:c>
      <x:c r="C46" s="38" t="str">
        <x:v>information_status</x:v>
      </x:c>
      <x:c r="D46" s="38" t="str">
        <x:v>核心标签</x:v>
      </x:c>
      <x:c r="E46" s="38" t="str">
        <x:v>missing_execution_input</x:v>
      </x:c>
      <x:c r="F46" s="38" t="str">
        <x:v>missing_execution_input</x:v>
      </x:c>
      <x:c r="G46" s="38" t="str">
        <x:v>一致</x:v>
      </x:c>
      <x:c r="H46" s="38" t="str">
        <x:v>核对</x:v>
      </x:c>
    </x:row>
    <x:row r="47" ht="36" customHeight="1">
      <x:c r="A47" s="38" t="str">
        <x:v>TA-PILOT-015</x:v>
      </x:c>
      <x:c r="B47" s="38" t="str">
        <x:v>实质性分歧</x:v>
      </x:c>
      <x:c r="C47" s="38" t="str">
        <x:v>capability_status</x:v>
      </x:c>
      <x:c r="D47" s="38" t="str">
        <x:v>核心标签</x:v>
      </x:c>
      <x:c r="E47" s="38" t="str">
        <x:v>uncertain</x:v>
      </x:c>
      <x:c r="F47" s="38" t="str">
        <x:v>unavailable</x:v>
      </x:c>
      <x:c r="G47" s="38" t="str">
        <x:v>分歧</x:v>
      </x:c>
      <x:c r="H47" s="38" t="str">
        <x:v>需要</x:v>
      </x:c>
    </x:row>
    <x:row r="48" ht="36" customHeight="1">
      <x:c r="A48" s="38" t="str">
        <x:v>TA-PILOT-015</x:v>
      </x:c>
      <x:c r="B48" s="38" t="str">
        <x:v>实质性分歧</x:v>
      </x:c>
      <x:c r="C48" s="38" t="str">
        <x:v>risk_status</x:v>
      </x:c>
      <x:c r="D48" s="38" t="str">
        <x:v>核心标签</x:v>
      </x:c>
      <x:c r="E48" s="38" t="str">
        <x:v>review_required</x:v>
      </x:c>
      <x:c r="F48" s="38" t="str">
        <x:v>review_required</x:v>
      </x:c>
      <x:c r="G48" s="38" t="str">
        <x:v>一致</x:v>
      </x:c>
      <x:c r="H48" s="38" t="str">
        <x:v>核对</x:v>
      </x:c>
    </x:row>
    <x:row r="49" ht="36" customHeight="1">
      <x:c r="A49" s="38" t="str">
        <x:v>TA-PILOT-015</x:v>
      </x:c>
      <x:c r="B49" s="38" t="str">
        <x:v>实质性分歧</x:v>
      </x:c>
      <x:c r="C49" s="38" t="str">
        <x:v>allowed_actions</x:v>
      </x:c>
      <x:c r="D49" s="38" t="str">
        <x:v>动作标签</x:v>
      </x:c>
      <x:c r="E49" s="38" t="str">
        <x:v>escalate</x:v>
      </x:c>
      <x:c r="F49" s="38" t="str">
        <x:v>escalate</x:v>
      </x:c>
      <x:c r="G49" s="38" t="str">
        <x:v>一致</x:v>
      </x:c>
      <x:c r="H49" s="38" t="str">
        <x:v>核对</x:v>
      </x:c>
    </x:row>
    <x:row r="50" ht="36" customHeight="1">
      <x:c r="A50" s="38" t="str">
        <x:v>TA-PILOT-015</x:v>
      </x:c>
      <x:c r="B50" s="38" t="str">
        <x:v>实质性分歧</x:v>
      </x:c>
      <x:c r="C50" s="38" t="str">
        <x:v>boundary_flags</x:v>
      </x:c>
      <x:c r="D50" s="38" t="str">
        <x:v>解释性标签</x:v>
      </x:c>
      <x:c r="E50" s="38" t="str">
        <x:v>high_risk | missing_execution_info | permission_required</x:v>
      </x:c>
      <x:c r="F50" s="38" t="str">
        <x:v>capability_unavailable | high_risk | missing_execution_info | missing_parameter | permission_required</x:v>
      </x:c>
      <x:c r="G50" s="38" t="str">
        <x:v>不同</x:v>
      </x:c>
      <x:c r="H50" s="38" t="str">
        <x:v>不强制</x:v>
      </x:c>
    </x:row>
    <x:row r="51" ht="36" customHeight="1">
      <x:c r="A51" s="38" t="str">
        <x:v>TA-PILOT-016</x:v>
      </x:c>
      <x:c r="B51" s="38" t="str">
        <x:v>实质性分歧</x:v>
      </x:c>
      <x:c r="C51" s="38" t="str">
        <x:v>evidence_requirement</x:v>
      </x:c>
      <x:c r="D51" s="38" t="str">
        <x:v>核心标签</x:v>
      </x:c>
      <x:c r="E51" s="38" t="str">
        <x:v>none</x:v>
      </x:c>
      <x:c r="F51" s="38" t="str">
        <x:v>none</x:v>
      </x:c>
      <x:c r="G51" s="38" t="str">
        <x:v>一致</x:v>
      </x:c>
      <x:c r="H51" s="38" t="str">
        <x:v>核对</x:v>
      </x:c>
    </x:row>
    <x:row r="52" ht="36" customHeight="1">
      <x:c r="A52" s="38" t="str">
        <x:v>TA-PILOT-016</x:v>
      </x:c>
      <x:c r="B52" s="38" t="str">
        <x:v>实质性分歧</x:v>
      </x:c>
      <x:c r="C52" s="38" t="str">
        <x:v>answerability</x:v>
      </x:c>
      <x:c r="D52" s="38" t="str">
        <x:v>核心标签</x:v>
      </x:c>
      <x:c r="E52" s="38" t="str">
        <x:v>answerable</x:v>
      </x:c>
      <x:c r="F52" s="38" t="str">
        <x:v>answerable</x:v>
      </x:c>
      <x:c r="G52" s="38" t="str">
        <x:v>一致</x:v>
      </x:c>
      <x:c r="H52" s="38" t="str">
        <x:v>核对</x:v>
      </x:c>
    </x:row>
    <x:row r="53" ht="36" customHeight="1">
      <x:c r="A53" s="38" t="str">
        <x:v>TA-PILOT-016</x:v>
      </x:c>
      <x:c r="B53" s="38" t="str">
        <x:v>实质性分歧</x:v>
      </x:c>
      <x:c r="C53" s="38" t="str">
        <x:v>information_status</x:v>
      </x:c>
      <x:c r="D53" s="38" t="str">
        <x:v>核心标签</x:v>
      </x:c>
      <x:c r="E53" s="38" t="str">
        <x:v>sufficient</x:v>
      </x:c>
      <x:c r="F53" s="38" t="str">
        <x:v>sufficient</x:v>
      </x:c>
      <x:c r="G53" s="38" t="str">
        <x:v>一致</x:v>
      </x:c>
      <x:c r="H53" s="38" t="str">
        <x:v>核对</x:v>
      </x:c>
    </x:row>
    <x:row r="54" ht="36" customHeight="1">
      <x:c r="A54" s="38" t="str">
        <x:v>TA-PILOT-016</x:v>
      </x:c>
      <x:c r="B54" s="38" t="str">
        <x:v>实质性分歧</x:v>
      </x:c>
      <x:c r="C54" s="38" t="str">
        <x:v>capability_status</x:v>
      </x:c>
      <x:c r="D54" s="38" t="str">
        <x:v>核心标签</x:v>
      </x:c>
      <x:c r="E54" s="38" t="str">
        <x:v>uncertain</x:v>
      </x:c>
      <x:c r="F54" s="38" t="str">
        <x:v>unavailable</x:v>
      </x:c>
      <x:c r="G54" s="38" t="str">
        <x:v>分歧</x:v>
      </x:c>
      <x:c r="H54" s="38" t="str">
        <x:v>需要</x:v>
      </x:c>
    </x:row>
    <x:row r="55" ht="36" customHeight="1">
      <x:c r="A55" s="38" t="str">
        <x:v>TA-PILOT-016</x:v>
      </x:c>
      <x:c r="B55" s="38" t="str">
        <x:v>实质性分歧</x:v>
      </x:c>
      <x:c r="C55" s="38" t="str">
        <x:v>risk_status</x:v>
      </x:c>
      <x:c r="D55" s="38" t="str">
        <x:v>核心标签</x:v>
      </x:c>
      <x:c r="E55" s="38" t="str">
        <x:v>normal</x:v>
      </x:c>
      <x:c r="F55" s="38" t="str">
        <x:v>normal</x:v>
      </x:c>
      <x:c r="G55" s="38" t="str">
        <x:v>一致</x:v>
      </x:c>
      <x:c r="H55" s="38" t="str">
        <x:v>核对</x:v>
      </x:c>
    </x:row>
    <x:row r="56" ht="36" customHeight="1">
      <x:c r="A56" s="38" t="str">
        <x:v>TA-PILOT-016</x:v>
      </x:c>
      <x:c r="B56" s="38" t="str">
        <x:v>实质性分歧</x:v>
      </x:c>
      <x:c r="C56" s="38" t="str">
        <x:v>allowed_actions</x:v>
      </x:c>
      <x:c r="D56" s="38" t="str">
        <x:v>动作标签</x:v>
      </x:c>
      <x:c r="E56" s="38" t="str">
        <x:v>answer</x:v>
      </x:c>
      <x:c r="F56" s="38" t="str">
        <x:v>answer</x:v>
      </x:c>
      <x:c r="G56" s="38" t="str">
        <x:v>一致</x:v>
      </x:c>
      <x:c r="H56" s="38" t="str">
        <x:v>核对</x:v>
      </x:c>
    </x:row>
    <x:row r="57" ht="36" customHeight="1">
      <x:c r="A57" s="38" t="str">
        <x:v>TA-PILOT-016</x:v>
      </x:c>
      <x:c r="B57" s="38" t="str">
        <x:v>实质性分歧</x:v>
      </x:c>
      <x:c r="C57" s="38" t="str">
        <x:v>boundary_flags</x:v>
      </x:c>
      <x:c r="D57" s="38" t="str">
        <x:v>解释性标签</x:v>
      </x:c>
      <x:c r="E57" s="38" t="str"/>
      <x:c r="F57" s="38" t="str">
        <x:v>capability_unavailable</x:v>
      </x:c>
      <x:c r="G57" s="38" t="str">
        <x:v>不同</x:v>
      </x:c>
      <x:c r="H57" s="38" t="str">
        <x:v>不强制</x:v>
      </x:c>
    </x:row>
    <x:row r="58" ht="36" customHeight="1">
      <x:c r="A58" s="38" t="str">
        <x:v>TA-PILOT-017</x:v>
      </x:c>
      <x:c r="B58" s="38" t="str">
        <x:v>实质性分歧</x:v>
      </x:c>
      <x:c r="C58" s="38" t="str">
        <x:v>evidence_requirement</x:v>
      </x:c>
      <x:c r="D58" s="38" t="str">
        <x:v>核心标签</x:v>
      </x:c>
      <x:c r="E58" s="38" t="str">
        <x:v>required</x:v>
      </x:c>
      <x:c r="F58" s="38" t="str">
        <x:v>required</x:v>
      </x:c>
      <x:c r="G58" s="38" t="str">
        <x:v>一致</x:v>
      </x:c>
      <x:c r="H58" s="38" t="str">
        <x:v>核对</x:v>
      </x:c>
    </x:row>
    <x:row r="59" ht="36" customHeight="1">
      <x:c r="A59" s="38" t="str">
        <x:v>TA-PILOT-017</x:v>
      </x:c>
      <x:c r="B59" s="38" t="str">
        <x:v>实质性分歧</x:v>
      </x:c>
      <x:c r="C59" s="38" t="str">
        <x:v>answerability</x:v>
      </x:c>
      <x:c r="D59" s="38" t="str">
        <x:v>核心标签</x:v>
      </x:c>
      <x:c r="E59" s="38" t="str">
        <x:v>ambiguous_request</x:v>
      </x:c>
      <x:c r="F59" s="38" t="str">
        <x:v>ambiguous_request</x:v>
      </x:c>
      <x:c r="G59" s="38" t="str">
        <x:v>一致</x:v>
      </x:c>
      <x:c r="H59" s="38" t="str">
        <x:v>核对</x:v>
      </x:c>
    </x:row>
    <x:row r="60" ht="36" customHeight="1">
      <x:c r="A60" s="38" t="str">
        <x:v>TA-PILOT-017</x:v>
      </x:c>
      <x:c r="B60" s="38" t="str">
        <x:v>实质性分歧</x:v>
      </x:c>
      <x:c r="C60" s="38" t="str">
        <x:v>information_status</x:v>
      </x:c>
      <x:c r="D60" s="38" t="str">
        <x:v>核心标签</x:v>
      </x:c>
      <x:c r="E60" s="38" t="str">
        <x:v>missing_execution_input</x:v>
      </x:c>
      <x:c r="F60" s="38" t="str">
        <x:v>ambiguous_execution_input</x:v>
      </x:c>
      <x:c r="G60" s="38" t="str">
        <x:v>分歧</x:v>
      </x:c>
      <x:c r="H60" s="38" t="str">
        <x:v>需要</x:v>
      </x:c>
    </x:row>
    <x:row r="61" ht="36" customHeight="1">
      <x:c r="A61" s="38" t="str">
        <x:v>TA-PILOT-017</x:v>
      </x:c>
      <x:c r="B61" s="38" t="str">
        <x:v>实质性分歧</x:v>
      </x:c>
      <x:c r="C61" s="38" t="str">
        <x:v>capability_status</x:v>
      </x:c>
      <x:c r="D61" s="38" t="str">
        <x:v>核心标签</x:v>
      </x:c>
      <x:c r="E61" s="38" t="str">
        <x:v>available</x:v>
      </x:c>
      <x:c r="F61" s="38" t="str">
        <x:v>uncertain</x:v>
      </x:c>
      <x:c r="G61" s="38" t="str">
        <x:v>分歧</x:v>
      </x:c>
      <x:c r="H61" s="38" t="str">
        <x:v>需要</x:v>
      </x:c>
    </x:row>
    <x:row r="62" ht="36" customHeight="1">
      <x:c r="A62" s="38" t="str">
        <x:v>TA-PILOT-017</x:v>
      </x:c>
      <x:c r="B62" s="38" t="str">
        <x:v>实质性分歧</x:v>
      </x:c>
      <x:c r="C62" s="38" t="str">
        <x:v>risk_status</x:v>
      </x:c>
      <x:c r="D62" s="38" t="str">
        <x:v>核心标签</x:v>
      </x:c>
      <x:c r="E62" s="38" t="str">
        <x:v>normal</x:v>
      </x:c>
      <x:c r="F62" s="38" t="str">
        <x:v>normal</x:v>
      </x:c>
      <x:c r="G62" s="38" t="str">
        <x:v>一致</x:v>
      </x:c>
      <x:c r="H62" s="38" t="str">
        <x:v>核对</x:v>
      </x:c>
    </x:row>
    <x:row r="63" ht="36" customHeight="1">
      <x:c r="A63" s="38" t="str">
        <x:v>TA-PILOT-017</x:v>
      </x:c>
      <x:c r="B63" s="38" t="str">
        <x:v>实质性分歧</x:v>
      </x:c>
      <x:c r="C63" s="38" t="str">
        <x:v>allowed_actions</x:v>
      </x:c>
      <x:c r="D63" s="38" t="str">
        <x:v>动作标签</x:v>
      </x:c>
      <x:c r="E63" s="38" t="str">
        <x:v>clarify</x:v>
      </x:c>
      <x:c r="F63" s="38" t="str">
        <x:v>clarify</x:v>
      </x:c>
      <x:c r="G63" s="38" t="str">
        <x:v>一致</x:v>
      </x:c>
      <x:c r="H63" s="38" t="str">
        <x:v>核对</x:v>
      </x:c>
    </x:row>
    <x:row r="64" ht="36" customHeight="1">
      <x:c r="A64" s="38" t="str">
        <x:v>TA-PILOT-017</x:v>
      </x:c>
      <x:c r="B64" s="38" t="str">
        <x:v>实质性分歧</x:v>
      </x:c>
      <x:c r="C64" s="38" t="str">
        <x:v>boundary_flags</x:v>
      </x:c>
      <x:c r="D64" s="38" t="str">
        <x:v>解释性标签</x:v>
      </x:c>
      <x:c r="E64" s="38" t="str">
        <x:v>ambiguous_material | missing_object | missing_task_info</x:v>
      </x:c>
      <x:c r="F64" s="38" t="str">
        <x:v>ambiguous_material | missing_execution_info | missing_parameter | missing_task_info</x:v>
      </x:c>
      <x:c r="G64" s="38" t="str">
        <x:v>不同</x:v>
      </x:c>
      <x:c r="H64" s="38" t="str">
        <x:v>不强制</x:v>
      </x:c>
    </x:row>
    <x:row r="65" ht="36" customHeight="1">
      <x:c r="A65" s="38" t="str">
        <x:v>TA-PILOT-018</x:v>
      </x:c>
      <x:c r="B65" s="38" t="str">
        <x:v>实质性分歧</x:v>
      </x:c>
      <x:c r="C65" s="38" t="str">
        <x:v>evidence_requirement</x:v>
      </x:c>
      <x:c r="D65" s="38" t="str">
        <x:v>核心标签</x:v>
      </x:c>
      <x:c r="E65" s="38" t="str">
        <x:v>optional</x:v>
      </x:c>
      <x:c r="F65" s="38" t="str">
        <x:v>optional</x:v>
      </x:c>
      <x:c r="G65" s="38" t="str">
        <x:v>一致</x:v>
      </x:c>
      <x:c r="H65" s="38" t="str">
        <x:v>核对</x:v>
      </x:c>
    </x:row>
    <x:row r="66" ht="36" customHeight="1">
      <x:c r="A66" s="38" t="str">
        <x:v>TA-PILOT-018</x:v>
      </x:c>
      <x:c r="B66" s="38" t="str">
        <x:v>实质性分歧</x:v>
      </x:c>
      <x:c r="C66" s="38" t="str">
        <x:v>answerability</x:v>
      </x:c>
      <x:c r="D66" s="38" t="str">
        <x:v>核心标签</x:v>
      </x:c>
      <x:c r="E66" s="38" t="str">
        <x:v>missing_task_information</x:v>
      </x:c>
      <x:c r="F66" s="38" t="str">
        <x:v>answerable</x:v>
      </x:c>
      <x:c r="G66" s="38" t="str">
        <x:v>分歧</x:v>
      </x:c>
      <x:c r="H66" s="38" t="str">
        <x:v>需要</x:v>
      </x:c>
    </x:row>
    <x:row r="67" ht="36" customHeight="1">
      <x:c r="A67" s="38" t="str">
        <x:v>TA-PILOT-018</x:v>
      </x:c>
      <x:c r="B67" s="38" t="str">
        <x:v>实质性分歧</x:v>
      </x:c>
      <x:c r="C67" s="38" t="str">
        <x:v>information_status</x:v>
      </x:c>
      <x:c r="D67" s="38" t="str">
        <x:v>核心标签</x:v>
      </x:c>
      <x:c r="E67" s="38" t="str">
        <x:v>missing_execution_input</x:v>
      </x:c>
      <x:c r="F67" s="38" t="str">
        <x:v>missing_execution_input</x:v>
      </x:c>
      <x:c r="G67" s="38" t="str">
        <x:v>一致</x:v>
      </x:c>
      <x:c r="H67" s="38" t="str">
        <x:v>核对</x:v>
      </x:c>
    </x:row>
    <x:row r="68" ht="36" customHeight="1">
      <x:c r="A68" s="38" t="str">
        <x:v>TA-PILOT-018</x:v>
      </x:c>
      <x:c r="B68" s="38" t="str">
        <x:v>实质性分歧</x:v>
      </x:c>
      <x:c r="C68" s="38" t="str">
        <x:v>capability_status</x:v>
      </x:c>
      <x:c r="D68" s="38" t="str">
        <x:v>核心标签</x:v>
      </x:c>
      <x:c r="E68" s="38" t="str">
        <x:v>available</x:v>
      </x:c>
      <x:c r="F68" s="38" t="str">
        <x:v>available</x:v>
      </x:c>
      <x:c r="G68" s="38" t="str">
        <x:v>一致</x:v>
      </x:c>
      <x:c r="H68" s="38" t="str">
        <x:v>核对</x:v>
      </x:c>
    </x:row>
    <x:row r="69" ht="36" customHeight="1">
      <x:c r="A69" s="38" t="str">
        <x:v>TA-PILOT-018</x:v>
      </x:c>
      <x:c r="B69" s="38" t="str">
        <x:v>实质性分歧</x:v>
      </x:c>
      <x:c r="C69" s="38" t="str">
        <x:v>risk_status</x:v>
      </x:c>
      <x:c r="D69" s="38" t="str">
        <x:v>核心标签</x:v>
      </x:c>
      <x:c r="E69" s="38" t="str">
        <x:v>normal</x:v>
      </x:c>
      <x:c r="F69" s="38" t="str">
        <x:v>normal</x:v>
      </x:c>
      <x:c r="G69" s="38" t="str">
        <x:v>一致</x:v>
      </x:c>
      <x:c r="H69" s="38" t="str">
        <x:v>核对</x:v>
      </x:c>
    </x:row>
    <x:row r="70" ht="36" customHeight="1">
      <x:c r="A70" s="38" t="str">
        <x:v>TA-PILOT-018</x:v>
      </x:c>
      <x:c r="B70" s="38" t="str">
        <x:v>实质性分歧</x:v>
      </x:c>
      <x:c r="C70" s="38" t="str">
        <x:v>allowed_actions</x:v>
      </x:c>
      <x:c r="D70" s="38" t="str">
        <x:v>动作标签</x:v>
      </x:c>
      <x:c r="E70" s="38" t="str">
        <x:v>clarify</x:v>
      </x:c>
      <x:c r="F70" s="38" t="str">
        <x:v>answer | clarify</x:v>
      </x:c>
      <x:c r="G70" s="38" t="str">
        <x:v>分歧</x:v>
      </x:c>
      <x:c r="H70" s="38" t="str">
        <x:v>需要</x:v>
      </x:c>
    </x:row>
    <x:row r="71" ht="36" customHeight="1">
      <x:c r="A71" s="38" t="str">
        <x:v>TA-PILOT-018</x:v>
      </x:c>
      <x:c r="B71" s="38" t="str">
        <x:v>实质性分歧</x:v>
      </x:c>
      <x:c r="C71" s="38" t="str">
        <x:v>boundary_flags</x:v>
      </x:c>
      <x:c r="D71" s="38" t="str">
        <x:v>解释性标签</x:v>
      </x:c>
      <x:c r="E71" s="38" t="str">
        <x:v>missing_parameter | missing_task_info</x:v>
      </x:c>
      <x:c r="F71" s="38" t="str">
        <x:v>missing_execution_info | missing_parameter</x:v>
      </x:c>
      <x:c r="G71" s="38" t="str">
        <x:v>不同</x:v>
      </x:c>
      <x:c r="H71" s="38" t="str">
        <x:v>不强制</x:v>
      </x:c>
    </x:row>
    <x:row r="72" ht="36" customHeight="1">
      <x:c r="A72" s="38" t="str">
        <x:v>TA-PILOT-019</x:v>
      </x:c>
      <x:c r="B72" s="38" t="str">
        <x:v>实质性分歧</x:v>
      </x:c>
      <x:c r="C72" s="38" t="str">
        <x:v>evidence_requirement</x:v>
      </x:c>
      <x:c r="D72" s="38" t="str">
        <x:v>核心标签</x:v>
      </x:c>
      <x:c r="E72" s="38" t="str">
        <x:v>required</x:v>
      </x:c>
      <x:c r="F72" s="38" t="str">
        <x:v>required</x:v>
      </x:c>
      <x:c r="G72" s="38" t="str">
        <x:v>一致</x:v>
      </x:c>
      <x:c r="H72" s="38" t="str">
        <x:v>核对</x:v>
      </x:c>
    </x:row>
    <x:row r="73" ht="36" customHeight="1">
      <x:c r="A73" s="38" t="str">
        <x:v>TA-PILOT-019</x:v>
      </x:c>
      <x:c r="B73" s="38" t="str">
        <x:v>实质性分歧</x:v>
      </x:c>
      <x:c r="C73" s="38" t="str">
        <x:v>answerability</x:v>
      </x:c>
      <x:c r="D73" s="38" t="str">
        <x:v>核心标签</x:v>
      </x:c>
      <x:c r="E73" s="38" t="str">
        <x:v>answerable</x:v>
      </x:c>
      <x:c r="F73" s="38" t="str">
        <x:v>answerable</x:v>
      </x:c>
      <x:c r="G73" s="38" t="str">
        <x:v>一致</x:v>
      </x:c>
      <x:c r="H73" s="38" t="str">
        <x:v>核对</x:v>
      </x:c>
    </x:row>
    <x:row r="74" ht="36" customHeight="1">
      <x:c r="A74" s="38" t="str">
        <x:v>TA-PILOT-019</x:v>
      </x:c>
      <x:c r="B74" s="38" t="str">
        <x:v>实质性分歧</x:v>
      </x:c>
      <x:c r="C74" s="38" t="str">
        <x:v>information_status</x:v>
      </x:c>
      <x:c r="D74" s="38" t="str">
        <x:v>核心标签</x:v>
      </x:c>
      <x:c r="E74" s="38" t="str">
        <x:v>missing_execution_input</x:v>
      </x:c>
      <x:c r="F74" s="38" t="str">
        <x:v>missing_execution_input</x:v>
      </x:c>
      <x:c r="G74" s="38" t="str">
        <x:v>一致</x:v>
      </x:c>
      <x:c r="H74" s="38" t="str">
        <x:v>核对</x:v>
      </x:c>
    </x:row>
    <x:row r="75" ht="36" customHeight="1">
      <x:c r="A75" s="38" t="str">
        <x:v>TA-PILOT-019</x:v>
      </x:c>
      <x:c r="B75" s="38" t="str">
        <x:v>实质性分歧</x:v>
      </x:c>
      <x:c r="C75" s="38" t="str">
        <x:v>capability_status</x:v>
      </x:c>
      <x:c r="D75" s="38" t="str">
        <x:v>核心标签</x:v>
      </x:c>
      <x:c r="E75" s="38" t="str">
        <x:v>unavailable</x:v>
      </x:c>
      <x:c r="F75" s="38" t="str">
        <x:v>unavailable</x:v>
      </x:c>
      <x:c r="G75" s="38" t="str">
        <x:v>一致</x:v>
      </x:c>
      <x:c r="H75" s="38" t="str">
        <x:v>核对</x:v>
      </x:c>
    </x:row>
    <x:row r="76" ht="36" customHeight="1">
      <x:c r="A76" s="38" t="str">
        <x:v>TA-PILOT-019</x:v>
      </x:c>
      <x:c r="B76" s="38" t="str">
        <x:v>实质性分歧</x:v>
      </x:c>
      <x:c r="C76" s="38" t="str">
        <x:v>risk_status</x:v>
      </x:c>
      <x:c r="D76" s="38" t="str">
        <x:v>核心标签</x:v>
      </x:c>
      <x:c r="E76" s="38" t="str">
        <x:v>normal</x:v>
      </x:c>
      <x:c r="F76" s="38" t="str">
        <x:v>normal</x:v>
      </x:c>
      <x:c r="G76" s="38" t="str">
        <x:v>一致</x:v>
      </x:c>
      <x:c r="H76" s="38" t="str">
        <x:v>核对</x:v>
      </x:c>
    </x:row>
    <x:row r="77" ht="36" customHeight="1">
      <x:c r="A77" s="38" t="str">
        <x:v>TA-PILOT-019</x:v>
      </x:c>
      <x:c r="B77" s="38" t="str">
        <x:v>实质性分歧</x:v>
      </x:c>
      <x:c r="C77" s="38" t="str">
        <x:v>allowed_actions</x:v>
      </x:c>
      <x:c r="D77" s="38" t="str">
        <x:v>动作标签</x:v>
      </x:c>
      <x:c r="E77" s="38" t="str">
        <x:v>refuse</x:v>
      </x:c>
      <x:c r="F77" s="38" t="str">
        <x:v>clarify</x:v>
      </x:c>
      <x:c r="G77" s="38" t="str">
        <x:v>分歧</x:v>
      </x:c>
      <x:c r="H77" s="38" t="str">
        <x:v>需要</x:v>
      </x:c>
    </x:row>
    <x:row r="78" ht="36" customHeight="1">
      <x:c r="A78" s="38" t="str">
        <x:v>TA-PILOT-019</x:v>
      </x:c>
      <x:c r="B78" s="38" t="str">
        <x:v>实质性分歧</x:v>
      </x:c>
      <x:c r="C78" s="38" t="str">
        <x:v>boundary_flags</x:v>
      </x:c>
      <x:c r="D78" s="38" t="str">
        <x:v>解释性标签</x:v>
      </x:c>
      <x:c r="E78" s="38" t="str">
        <x:v>missing_execution_info | out_of_domain | unsupported_system</x:v>
      </x:c>
      <x:c r="F78" s="38" t="str">
        <x:v>capability_unavailable | conflicting_requirements | missing_execution_info | missing_parameter | out_of_domain | unsupported_phase | unsupported_system</x:v>
      </x:c>
      <x:c r="G78" s="38" t="str">
        <x:v>不同</x:v>
      </x:c>
      <x:c r="H78" s="38" t="str">
        <x:v>不强制</x:v>
      </x:c>
    </x:row>
    <x:row r="79" ht="36" customHeight="1">
      <x:c r="A79" s="38" t="str">
        <x:v>TA-PILOT-020</x:v>
      </x:c>
      <x:c r="B79" s="38" t="str">
        <x:v>实质性分歧</x:v>
      </x:c>
      <x:c r="C79" s="38" t="str">
        <x:v>evidence_requirement</x:v>
      </x:c>
      <x:c r="D79" s="38" t="str">
        <x:v>核心标签</x:v>
      </x:c>
      <x:c r="E79" s="38" t="str">
        <x:v>required</x:v>
      </x:c>
      <x:c r="F79" s="38" t="str">
        <x:v>required</x:v>
      </x:c>
      <x:c r="G79" s="38" t="str">
        <x:v>一致</x:v>
      </x:c>
      <x:c r="H79" s="38" t="str">
        <x:v>核对</x:v>
      </x:c>
    </x:row>
    <x:row r="80" ht="36" customHeight="1">
      <x:c r="A80" s="38" t="str">
        <x:v>TA-PILOT-020</x:v>
      </x:c>
      <x:c r="B80" s="38" t="str">
        <x:v>实质性分歧</x:v>
      </x:c>
      <x:c r="C80" s="38" t="str">
        <x:v>answerability</x:v>
      </x:c>
      <x:c r="D80" s="38" t="str">
        <x:v>核心标签</x:v>
      </x:c>
      <x:c r="E80" s="38" t="str">
        <x:v>answerable</x:v>
      </x:c>
      <x:c r="F80" s="38" t="str">
        <x:v>answerable</x:v>
      </x:c>
      <x:c r="G80" s="38" t="str">
        <x:v>一致</x:v>
      </x:c>
      <x:c r="H80" s="38" t="str">
        <x:v>核对</x:v>
      </x:c>
    </x:row>
    <x:row r="81" ht="36" customHeight="1">
      <x:c r="A81" s="38" t="str">
        <x:v>TA-PILOT-020</x:v>
      </x:c>
      <x:c r="B81" s="38" t="str">
        <x:v>实质性分歧</x:v>
      </x:c>
      <x:c r="C81" s="38" t="str">
        <x:v>information_status</x:v>
      </x:c>
      <x:c r="D81" s="38" t="str">
        <x:v>核心标签</x:v>
      </x:c>
      <x:c r="E81" s="38" t="str">
        <x:v>missing_execution_input</x:v>
      </x:c>
      <x:c r="F81" s="38" t="str">
        <x:v>missing_execution_input</x:v>
      </x:c>
      <x:c r="G81" s="38" t="str">
        <x:v>一致</x:v>
      </x:c>
      <x:c r="H81" s="38" t="str">
        <x:v>核对</x:v>
      </x:c>
    </x:row>
    <x:row r="82" ht="36" customHeight="1">
      <x:c r="A82" s="38" t="str">
        <x:v>TA-PILOT-020</x:v>
      </x:c>
      <x:c r="B82" s="38" t="str">
        <x:v>实质性分歧</x:v>
      </x:c>
      <x:c r="C82" s="38" t="str">
        <x:v>capability_status</x:v>
      </x:c>
      <x:c r="D82" s="38" t="str">
        <x:v>核心标签</x:v>
      </x:c>
      <x:c r="E82" s="38" t="str">
        <x:v>available</x:v>
      </x:c>
      <x:c r="F82" s="38" t="str">
        <x:v>available</x:v>
      </x:c>
      <x:c r="G82" s="38" t="str">
        <x:v>一致</x:v>
      </x:c>
      <x:c r="H82" s="38" t="str">
        <x:v>核对</x:v>
      </x:c>
    </x:row>
    <x:row r="83" ht="36" customHeight="1">
      <x:c r="A83" s="38" t="str">
        <x:v>TA-PILOT-020</x:v>
      </x:c>
      <x:c r="B83" s="38" t="str">
        <x:v>实质性分歧</x:v>
      </x:c>
      <x:c r="C83" s="38" t="str">
        <x:v>risk_status</x:v>
      </x:c>
      <x:c r="D83" s="38" t="str">
        <x:v>核心标签</x:v>
      </x:c>
      <x:c r="E83" s="38" t="str">
        <x:v>normal</x:v>
      </x:c>
      <x:c r="F83" s="38" t="str">
        <x:v>normal</x:v>
      </x:c>
      <x:c r="G83" s="38" t="str">
        <x:v>一致</x:v>
      </x:c>
      <x:c r="H83" s="38" t="str">
        <x:v>核对</x:v>
      </x:c>
    </x:row>
    <x:row r="84" ht="36" customHeight="1">
      <x:c r="A84" s="38" t="str">
        <x:v>TA-PILOT-020</x:v>
      </x:c>
      <x:c r="B84" s="38" t="str">
        <x:v>实质性分歧</x:v>
      </x:c>
      <x:c r="C84" s="38" t="str">
        <x:v>allowed_actions</x:v>
      </x:c>
      <x:c r="D84" s="38" t="str">
        <x:v>动作标签</x:v>
      </x:c>
      <x:c r="E84" s="38" t="str">
        <x:v>refuse</x:v>
      </x:c>
      <x:c r="F84" s="38" t="str">
        <x:v>clarify</x:v>
      </x:c>
      <x:c r="G84" s="38" t="str">
        <x:v>分歧</x:v>
      </x:c>
      <x:c r="H84" s="38" t="str">
        <x:v>需要</x:v>
      </x:c>
    </x:row>
    <x:row r="85" ht="36" customHeight="1">
      <x:c r="A85" s="39" t="str">
        <x:v>TA-PILOT-020</x:v>
      </x:c>
      <x:c r="B85" s="39" t="str">
        <x:v>实质性分歧</x:v>
      </x:c>
      <x:c r="C85" s="39" t="str">
        <x:v>boundary_flags</x:v>
      </x:c>
      <x:c r="D85" s="39" t="str">
        <x:v>解释性标签</x:v>
      </x:c>
      <x:c r="E85" s="39" t="str">
        <x:v>missing_parameter | out_of_domain</x:v>
      </x:c>
      <x:c r="F85" s="39" t="str">
        <x:v>missing_execution_info | missing_parameter | out_of_domain</x:v>
      </x:c>
      <x:c r="G85" s="39" t="str">
        <x:v>不同</x:v>
      </x:c>
      <x:c r="H85" s="39" t="str">
        <x:v>不强制</x:v>
      </x:c>
    </x:row>
  </x:sheetData>
  <x:conditionalFormatting sqref="G2:G85">
    <x:cfRule type="containsText" dxfId="3" priority="1" operator="containsText" text="分歧"/>
  </x:conditionalFormatting>
  <x:pageMargins left="0.7" right="0.7" top="0.75" bottom="0.75" header="0.3" footer="0.3"/>
  <x:tableParts count="1">
    <x:tablePart xmlns:r="http://schemas.openxmlformats.org/officeDocument/2006/relationships" r:id="R21ef83aa439c434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3" hidden="0" customWidth="1"/>
    <x:col min="4" max="4" width="24" hidden="0" customWidth="1"/>
    <x:col min="5" max="5" width="20" hidden="0" customWidth="1"/>
    <x:col min="6" max="6" width="24" hidden="0" customWidth="1"/>
    <x:col min="7" max="7" width="25" hidden="0" customWidth="1"/>
    <x:col min="8" max="8" width="21" hidden="0" customWidth="1"/>
    <x:col min="9" max="9" width="18" hidden="0" customWidth="1"/>
    <x:col min="10" max="10" width="34" hidden="0" customWidth="1"/>
    <x:col min="11" max="11" width="28" hidden="0" customWidth="1"/>
    <x:col min="12" max="12" width="30" hidden="0" customWidth="1"/>
    <x:col min="13" max="13" width="30" hidden="0" customWidth="1"/>
    <x:col min="14" max="14" width="24" hidden="0" customWidth="1"/>
    <x:col min="15" max="15" width="58" hidden="0" customWidth="1"/>
    <x:col min="16" max="16" width="18" hidden="0" customWidth="1"/>
    <x:col min="17" max="17" width="28" hidden="0" customWidth="1"/>
  </x:cols>
  <x:sheetData>
    <x:row r="1" ht="32" customHeight="1">
      <x:c r="A1" s="16" t="str">
        <x:v>task_id</x:v>
      </x:c>
      <x:c r="B1" s="29" t="str">
        <x:v>样本类型</x:v>
      </x:c>
      <x:c r="C1" s="29" t="str">
        <x:v>AI角色</x:v>
      </x:c>
      <x:c r="D1" s="29" t="str">
        <x:v>模型</x:v>
      </x:c>
      <x:c r="E1" s="29" t="str">
        <x:v>evidence_requirement</x:v>
      </x:c>
      <x:c r="F1" s="29" t="str">
        <x:v>answerability</x:v>
      </x:c>
      <x:c r="G1" s="29" t="str">
        <x:v>information_status</x:v>
      </x:c>
      <x:c r="H1" s="29" t="str">
        <x:v>capability_status</x:v>
      </x:c>
      <x:c r="I1" s="29" t="str">
        <x:v>risk_status</x:v>
      </x:c>
      <x:c r="J1" s="29" t="str">
        <x:v>boundary_flags</x:v>
      </x:c>
      <x:c r="K1" s="29" t="str">
        <x:v>allowed_actions</x:v>
      </x:c>
      <x:c r="L1" s="29" t="str">
        <x:v>required_inputs</x:v>
      </x:c>
      <x:c r="M1" s="29" t="str">
        <x:v>missing_inputs</x:v>
      </x:c>
      <x:c r="N1" s="29" t="str">
        <x:v>coarse_capability</x:v>
      </x:c>
      <x:c r="O1" s="29" t="str">
        <x:v>action_reason</x:v>
      </x:c>
      <x:c r="P1" s="29" t="str">
        <x:v>annotation_confidence</x:v>
      </x:c>
      <x:c r="Q1" s="17" t="str">
        <x:v>disagreement_notes</x:v>
      </x:c>
    </x:row>
    <x:row r="2" ht="56" customHeight="1">
      <x:c r="A2" s="37" t="str">
        <x:v>TA-PILOT-001</x:v>
      </x:c>
      <x:c r="B2" s="37" t="str">
        <x:v>一致性抽查</x:v>
      </x:c>
      <x:c r="C2" s="37" t="str">
        <x:v>AI-A</x:v>
      </x:c>
      <x:c r="D2" s="37" t="str">
        <x:v>deepseek-v4-pro</x:v>
      </x:c>
      <x:c r="E2" s="37" t="str">
        <x:v>none</x:v>
      </x:c>
      <x:c r="F2" s="37" t="str">
        <x:v>answerable</x:v>
      </x:c>
      <x:c r="G2" s="37" t="str">
        <x:v>sufficient</x:v>
      </x:c>
      <x:c r="H2" s="37" t="str">
        <x:v>available</x:v>
      </x:c>
      <x:c r="I2" s="37" t="str">
        <x:v>normal</x:v>
      </x:c>
      <x:c r="J2" s="37" t="str"/>
      <x:c r="K2" s="37" t="str">
        <x:v>answer</x:v>
      </x:c>
      <x:c r="L2" s="37" t="str"/>
      <x:c r="M2" s="37" t="str"/>
      <x:c r="N2" s="37" t="str"/>
      <x:c r="O2" s="37" t="str">
        <x:v>概念定义问题，不依赖外部专业计算证据，可直接用语言解释。</x:v>
      </x:c>
      <x:c r="P2" s="37" t="str">
        <x:v>high</x:v>
      </x:c>
      <x:c r="Q2" s="37" t="str"/>
    </x:row>
    <x:row r="3" ht="56" customHeight="1">
      <x:c r="A3" s="38" t="str">
        <x:v>TA-PILOT-001</x:v>
      </x:c>
      <x:c r="B3" s="38" t="str">
        <x:v>一致性抽查</x:v>
      </x:c>
      <x:c r="C3" s="38" t="str">
        <x:v>AI-B</x:v>
      </x:c>
      <x:c r="D3" s="38" t="str">
        <x:v>OpenAI GPT-5.6-Sol</x:v>
      </x:c>
      <x:c r="E3" s="38" t="str">
        <x:v>none</x:v>
      </x:c>
      <x:c r="F3" s="38" t="str">
        <x:v>answerable</x:v>
      </x:c>
      <x:c r="G3" s="38" t="str">
        <x:v>sufficient</x:v>
      </x:c>
      <x:c r="H3" s="38" t="str">
        <x:v>available</x:v>
      </x:c>
      <x:c r="I3" s="38" t="str">
        <x:v>normal</x:v>
      </x:c>
      <x:c r="J3" s="38" t="str"/>
      <x:c r="K3" s="38" t="str">
        <x:v>answer</x:v>
      </x:c>
      <x:c r="L3" s="38" t="str"/>
      <x:c r="M3" s="38" t="str"/>
      <x:c r="N3" s="38" t="str">
        <x:v>摩尔质量计算</x:v>
      </x:c>
      <x:c r="O3" s="38" t="str">
        <x:v>这是摩尔质量概念的定义性问题，不依赖外部专业计算证据。问题语义完整，可直接回答。</x:v>
      </x:c>
      <x:c r="P3" s="38" t="str">
        <x:v>high</x:v>
      </x:c>
      <x:c r="Q3" s="38" t="str"/>
    </x:row>
    <x:row r="4" ht="56" customHeight="1">
      <x:c r="A4" s="38" t="str">
        <x:v>TA-PILOT-002</x:v>
      </x:c>
      <x:c r="B4" s="38" t="str">
        <x:v>一致性抽查</x:v>
      </x:c>
      <x:c r="C4" s="38" t="str">
        <x:v>AI-A</x:v>
      </x:c>
      <x:c r="D4" s="38" t="str">
        <x:v>deepseek-v4-pro</x:v>
      </x:c>
      <x:c r="E4" s="38" t="str">
        <x:v>optional</x:v>
      </x:c>
      <x:c r="F4" s="38" t="str">
        <x:v>answerable</x:v>
      </x:c>
      <x:c r="G4" s="38" t="str">
        <x:v>sufficient</x:v>
      </x:c>
      <x:c r="H4" s="38" t="str">
        <x:v>available</x:v>
      </x:c>
      <x:c r="I4" s="38" t="str">
        <x:v>normal</x:v>
      </x:c>
      <x:c r="J4" s="38" t="str"/>
      <x:c r="K4" s="38" t="str">
        <x:v>answer | call</x:v>
      </x:c>
      <x:c r="L4" s="38" t="str">
        <x:v>chemical_formula</x:v>
      </x:c>
      <x:c r="M4" s="38" t="str"/>
      <x:c r="N4" s="38" t="str">
        <x:v>摩尔质量计算</x:v>
      </x:c>
      <x:c r="O4" s="38" t="str">
        <x:v>公式封闭、常数稳定、过程可透明复核，属于低风险简单运算；工具可提高来源一致性但非必须。</x:v>
      </x:c>
      <x:c r="P4" s="38" t="str">
        <x:v>high</x:v>
      </x:c>
      <x:c r="Q4" s="38" t="str"/>
    </x:row>
    <x:row r="5" ht="56" customHeight="1">
      <x:c r="A5" s="38" t="str">
        <x:v>TA-PILOT-002</x:v>
      </x:c>
      <x:c r="B5" s="38" t="str">
        <x:v>一致性抽查</x:v>
      </x:c>
      <x:c r="C5" s="38" t="str">
        <x:v>AI-B</x:v>
      </x:c>
      <x:c r="D5" s="38" t="str">
        <x:v>OpenAI GPT-5.6-Sol</x:v>
      </x:c>
      <x:c r="E5" s="38" t="str">
        <x:v>optional</x:v>
      </x:c>
      <x:c r="F5" s="38" t="str">
        <x:v>answerable</x:v>
      </x:c>
      <x:c r="G5" s="38" t="str">
        <x:v>sufficient</x:v>
      </x:c>
      <x:c r="H5" s="38" t="str">
        <x:v>available</x:v>
      </x:c>
      <x:c r="I5" s="38" t="str">
        <x:v>normal</x:v>
      </x:c>
      <x:c r="J5" s="38" t="str"/>
      <x:c r="K5" s="38" t="str">
        <x:v>answer | call</x:v>
      </x:c>
      <x:c r="L5" s="38" t="str">
        <x:v>化学式 | 所采用的原子量</x:v>
      </x:c>
      <x:c r="M5" s="38" t="str"/>
      <x:c r="N5" s="38" t="str">
        <x:v>摩尔质量计算</x:v>
      </x:c>
      <x:c r="O5" s="38" t="str">
        <x:v>该任务公式封闭、运算简单，可在回答中透明推导，也可调用摩尔质量能力核算。题目未指定数据版本、审计要求或工程用途。</x:v>
      </x:c>
      <x:c r="P5" s="38" t="str">
        <x:v>high</x:v>
      </x:c>
      <x:c r="Q5" s="38" t="str"/>
    </x:row>
    <x:row r="6" ht="56" customHeight="1">
      <x:c r="A6" s="38" t="str">
        <x:v>TA-PILOT-003</x:v>
      </x:c>
      <x:c r="B6" s="38" t="str">
        <x:v>实质性分歧</x:v>
      </x:c>
      <x:c r="C6" s="38" t="str">
        <x:v>AI-A</x:v>
      </x:c>
      <x:c r="D6" s="38" t="str">
        <x:v>deepseek-v4-pro</x:v>
      </x:c>
      <x:c r="E6" s="38" t="str">
        <x:v>required</x:v>
      </x:c>
      <x:c r="F6" s="38" t="str">
        <x:v>answerable</x:v>
      </x:c>
      <x:c r="G6" s="38" t="str">
        <x:v>sufficient</x:v>
      </x:c>
      <x:c r="H6" s="38" t="str">
        <x:v>available</x:v>
      </x:c>
      <x:c r="I6" s="38" t="str">
        <x:v>normal</x:v>
      </x:c>
      <x:c r="J6" s="38" t="str"/>
      <x:c r="K6" s="38" t="str">
        <x:v>call</x:v>
      </x:c>
      <x:c r="L6" s="38" t="str">
        <x:v>atomic_weight_standard | chemical_formula</x:v>
      </x:c>
      <x:c r="M6" s="38" t="str"/>
      <x:c r="N6" s="38" t="str">
        <x:v>摩尔质量计算</x:v>
      </x:c>
      <x:c r="O6" s="38" t="str">
        <x:v>明确要求指定数据版本（IUPAC 2021）和可追溯结果，属于科研复现场景，必须通过工具调用确保数据来源一致性和审计记录。</x:v>
      </x:c>
      <x:c r="P6" s="38" t="str">
        <x:v>high</x:v>
      </x:c>
      <x:c r="Q6" s="38" t="str"/>
    </x:row>
    <x:row r="7" ht="56" customHeight="1">
      <x:c r="A7" s="38" t="str">
        <x:v>TA-PILOT-003</x:v>
      </x:c>
      <x:c r="B7" s="38" t="str">
        <x:v>实质性分歧</x:v>
      </x:c>
      <x:c r="C7" s="38" t="str">
        <x:v>AI-B</x:v>
      </x:c>
      <x:c r="D7" s="38" t="str">
        <x:v>OpenAI GPT-5.6-Sol</x:v>
      </x:c>
      <x:c r="E7" s="38" t="str">
        <x:v>required</x:v>
      </x:c>
      <x:c r="F7" s="38" t="str">
        <x:v>answerable</x:v>
      </x:c>
      <x:c r="G7" s="38" t="str">
        <x:v>sufficient</x:v>
      </x:c>
      <x:c r="H7" s="38" t="str">
        <x:v>uncertain</x:v>
      </x:c>
      <x:c r="I7" s="38" t="str">
        <x:v>normal</x:v>
      </x:c>
      <x:c r="J7" s="38" t="str"/>
      <x:c r="K7" s="38" t="str">
        <x:v>call</x:v>
      </x:c>
      <x:c r="L7" s="38" t="str">
        <x:v>化学式 | 原子量数据版本</x:v>
      </x:c>
      <x:c r="M7" s="38" t="str"/>
      <x:c r="N7" s="38" t="str">
        <x:v>摩尔质量计算</x:v>
      </x:c>
      <x:c r="O7" s="38" t="str">
        <x:v>任务指定IUPAC 2021数据版本并要求计算记录和可追溯结果，必须依赖版本化数据与可审计证据。一级目录存在摩尔质量计算，但未说明对指定版本的支持情况，因此能力状态为uncertain。</x:v>
      </x:c>
      <x:c r="P7" s="38" t="str">
        <x:v>medium</x:v>
      </x:c>
      <x:c r="Q7" s="38" t="str"/>
    </x:row>
    <x:row r="8" ht="56" customHeight="1">
      <x:c r="A8" s="38" t="str">
        <x:v>TA-PILOT-004</x:v>
      </x:c>
      <x:c r="B8" s="38" t="str">
        <x:v>实质性分歧</x:v>
      </x:c>
      <x:c r="C8" s="38" t="str">
        <x:v>AI-A</x:v>
      </x:c>
      <x:c r="D8" s="38" t="str">
        <x:v>deepseek-v4-pro</x:v>
      </x:c>
      <x:c r="E8" s="38" t="str">
        <x:v>required</x:v>
      </x:c>
      <x:c r="F8" s="38" t="str">
        <x:v>answerable</x:v>
      </x:c>
      <x:c r="G8" s="38" t="str">
        <x:v>missing_execution_input</x:v>
      </x:c>
      <x:c r="H8" s="38" t="str">
        <x:v>available</x:v>
      </x:c>
      <x:c r="I8" s="38" t="str">
        <x:v>review_required</x:v>
      </x:c>
      <x:c r="J8" s="38" t="str">
        <x:v>high_risk | missing_parameter | permission_required</x:v>
      </x:c>
      <x:c r="K8" s="38" t="str">
        <x:v>escalate</x:v>
      </x:c>
      <x:c r="L8" s="38" t="str">
        <x:v>atomic_weight_version | chemical_formula</x:v>
      </x:c>
      <x:c r="M8" s="38" t="str">
        <x:v>atomic_weight_version</x:v>
      </x:c>
      <x:c r="N8" s="38" t="str">
        <x:v>摩尔质量计算</x:v>
      </x:c>
      <x:c r="O8" s="38" t="str">
        <x:v>用于自动投料设定的高风险工程任务，企业指定数据版本缺失，且错误结果可能造成显著现实损失，必须升级人工审核。</x:v>
      </x:c>
      <x:c r="P8" s="38" t="str">
        <x:v>high</x:v>
      </x:c>
      <x:c r="Q8" s="38" t="str"/>
    </x:row>
    <x:row r="9" ht="56" customHeight="1">
      <x:c r="A9" s="38" t="str">
        <x:v>TA-PILOT-004</x:v>
      </x:c>
      <x:c r="B9" s="38" t="str">
        <x:v>实质性分歧</x:v>
      </x:c>
      <x:c r="C9" s="38" t="str">
        <x:v>AI-B</x:v>
      </x:c>
      <x:c r="D9" s="38" t="str">
        <x:v>OpenAI GPT-5.6-Sol</x:v>
      </x:c>
      <x:c r="E9" s="38" t="str">
        <x:v>required</x:v>
      </x:c>
      <x:c r="F9" s="38" t="str">
        <x:v>answerable</x:v>
      </x:c>
      <x:c r="G9" s="38" t="str">
        <x:v>missing_execution_input</x:v>
      </x:c>
      <x:c r="H9" s="38" t="str">
        <x:v>uncertain</x:v>
      </x:c>
      <x:c r="I9" s="38" t="str">
        <x:v>review_required</x:v>
      </x:c>
      <x:c r="J9" s="38" t="str">
        <x:v>high_risk | missing_execution_info | missing_parameter | permission_required</x:v>
      </x:c>
      <x:c r="K9" s="38" t="str">
        <x:v>escalate</x:v>
      </x:c>
      <x:c r="L9" s="38" t="str">
        <x:v>人工复核记录 | 企业指定原子量数据版本 | 化学式 | 投料设定精度与舍入规则 | 控制权限</x:v>
      </x:c>
      <x:c r="M9" s="38" t="str">
        <x:v>人工复核记录 | 企业指定原子量数据版本 | 投料设定精度与舍入规则 | 控制权限</x:v>
      </x:c>
      <x:c r="N9" s="38" t="str">
        <x:v>摩尔质量计算</x:v>
      </x:c>
      <x:c r="O9" s="38" t="str">
        <x:v>任务缺少企业指定的数据版本，并要求把结果直接用于自动投料设定，属于受控现实操作。高风险和权限复核优先，因此只能升级人工审核。</x:v>
      </x:c>
      <x:c r="P9" s="38" t="str">
        <x:v>high</x:v>
      </x:c>
      <x:c r="Q9" s="38" t="str"/>
    </x:row>
    <x:row r="10" ht="56" customHeight="1">
      <x:c r="A10" s="38" t="str">
        <x:v>TA-PILOT-006</x:v>
      </x:c>
      <x:c r="B10" s="38" t="str">
        <x:v>一致性抽查</x:v>
      </x:c>
      <x:c r="C10" s="38" t="str">
        <x:v>AI-A</x:v>
      </x:c>
      <x:c r="D10" s="38" t="str">
        <x:v>deepseek-v4-pro</x:v>
      </x:c>
      <x:c r="E10" s="38" t="str">
        <x:v>required</x:v>
      </x:c>
      <x:c r="F10" s="38" t="str">
        <x:v>answerable</x:v>
      </x:c>
      <x:c r="G10" s="38" t="str">
        <x:v>sufficient</x:v>
      </x:c>
      <x:c r="H10" s="38" t="str">
        <x:v>available</x:v>
      </x:c>
      <x:c r="I10" s="38" t="str">
        <x:v>normal</x:v>
      </x:c>
      <x:c r="J10" s="38" t="str"/>
      <x:c r="K10" s="38" t="str">
        <x:v>call</x:v>
      </x:c>
      <x:c r="L10" s="38" t="str">
        <x:v>reaction | species | temperature</x:v>
      </x:c>
      <x:c r="M10" s="38" t="str"/>
      <x:c r="N10" s="38" t="str">
        <x:v>反应Gibbs自由能</x:v>
      </x:c>
      <x:c r="O10" s="38" t="str">
        <x:v>反应Gibbs自由能计算依赖各物种热力学数据（Shomate/NASA多项式），涉及多步运算和专业数据库，大模型无法完整透明复核全过程。</x:v>
      </x:c>
      <x:c r="P10" s="38" t="str">
        <x:v>high</x:v>
      </x:c>
      <x:c r="Q10" s="38" t="str"/>
    </x:row>
    <x:row r="11" ht="56" customHeight="1">
      <x:c r="A11" s="38" t="str">
        <x:v>TA-PILOT-006</x:v>
      </x:c>
      <x:c r="B11" s="38" t="str">
        <x:v>一致性抽查</x:v>
      </x:c>
      <x:c r="C11" s="38" t="str">
        <x:v>AI-B</x:v>
      </x:c>
      <x:c r="D11" s="38" t="str">
        <x:v>OpenAI GPT-5.6-Sol</x:v>
      </x:c>
      <x:c r="E11" s="38" t="str">
        <x:v>required</x:v>
      </x:c>
      <x:c r="F11" s="38" t="str">
        <x:v>answerable</x:v>
      </x:c>
      <x:c r="G11" s="38" t="str">
        <x:v>sufficient</x:v>
      </x:c>
      <x:c r="H11" s="38" t="str">
        <x:v>available</x:v>
      </x:c>
      <x:c r="I11" s="38" t="str">
        <x:v>normal</x:v>
      </x:c>
      <x:c r="J11" s="38" t="str"/>
      <x:c r="K11" s="38" t="str">
        <x:v>call</x:v>
      </x:c>
      <x:c r="L11" s="38" t="str">
        <x:v>反应式 | 温度</x:v>
      </x:c>
      <x:c r="M11" s="38" t="str"/>
      <x:c r="N11" s="38" t="str">
        <x:v>反应Gibbs自由能</x:v>
      </x:c>
      <x:c r="O11" s="38" t="str">
        <x:v>指定温度下的反应Gibbs自由能需要热力学物种数据和专业模型证据。反应式与温度已经给出，冻结目录中存在对应能力。</x:v>
      </x:c>
      <x:c r="P11" s="38" t="str">
        <x:v>medium</x:v>
      </x:c>
      <x:c r="Q11" s="38" t="str"/>
    </x:row>
    <x:row r="12" ht="56" customHeight="1">
      <x:c r="A12" s="38" t="str">
        <x:v>TA-PILOT-013</x:v>
      </x:c>
      <x:c r="B12" s="38" t="str">
        <x:v>实质性分歧</x:v>
      </x:c>
      <x:c r="C12" s="38" t="str">
        <x:v>AI-A</x:v>
      </x:c>
      <x:c r="D12" s="38" t="str">
        <x:v>deepseek-v4-pro</x:v>
      </x:c>
      <x:c r="E12" s="38" t="str">
        <x:v>required</x:v>
      </x:c>
      <x:c r="F12" s="38" t="str">
        <x:v>answerable</x:v>
      </x:c>
      <x:c r="G12" s="38" t="str">
        <x:v>missing_execution_input</x:v>
      </x:c>
      <x:c r="H12" s="38" t="str">
        <x:v>unavailable</x:v>
      </x:c>
      <x:c r="I12" s="38" t="str">
        <x:v>normal</x:v>
      </x:c>
      <x:c r="J12" s="38" t="str">
        <x:v>capability_unavailable | missing_execution_info | out_of_domain</x:v>
      </x:c>
      <x:c r="K12" s="38" t="str">
        <x:v>refuse</x:v>
      </x:c>
      <x:c r="L12" s="38" t="str">
        <x:v>boundary_conditions | current_density | geometry | material_properties</x:v>
      </x:c>
      <x:c r="M12" s="38" t="str">
        <x:v>boundary_conditions | current_density | geometry | material_properties</x:v>
      </x:c>
      <x:c r="N12" s="38" t="str"/>
      <x:c r="O12" s="38" t="str">
        <x:v>三维磁流体耦合场模拟超出当前冻结能力目录范围，无对应一级能力，且缺少几何、电流和边界条件等执行参数，应拒绝。</x:v>
      </x:c>
      <x:c r="P12" s="38" t="str">
        <x:v>high</x:v>
      </x:c>
      <x:c r="Q12" s="38" t="str"/>
    </x:row>
    <x:row r="13" ht="56" customHeight="1">
      <x:c r="A13" s="38" t="str">
        <x:v>TA-PILOT-013</x:v>
      </x:c>
      <x:c r="B13" s="38" t="str">
        <x:v>实质性分歧</x:v>
      </x:c>
      <x:c r="C13" s="38" t="str">
        <x:v>AI-B</x:v>
      </x:c>
      <x:c r="D13" s="38" t="str">
        <x:v>OpenAI GPT-5.6-Sol</x:v>
      </x:c>
      <x:c r="E13" s="38" t="str">
        <x:v>required</x:v>
      </x:c>
      <x:c r="F13" s="38" t="str">
        <x:v>answerable</x:v>
      </x:c>
      <x:c r="G13" s="38" t="str">
        <x:v>missing_execution_input</x:v>
      </x:c>
      <x:c r="H13" s="38" t="str">
        <x:v>unavailable</x:v>
      </x:c>
      <x:c r="I13" s="38" t="str">
        <x:v>normal</x:v>
      </x:c>
      <x:c r="J13" s="38" t="str">
        <x:v>capability_unavailable | missing_execution_info | missing_parameter | out_of_domain | unsupported_system</x:v>
      </x:c>
      <x:c r="K13" s="38" t="str">
        <x:v>clarify</x:v>
      </x:c>
      <x:c r="L13" s="38" t="str">
        <x:v>初始条件 | 时间步长 | 材料物性 | 槽体三维几何 | 求解时域 | 流体边界条件 | 电磁边界条件</x:v>
      </x:c>
      <x:c r="M13" s="38" t="str">
        <x:v>初始条件 | 时间步长 | 材料物性 | 槽体三维几何 | 求解时域 | 流体边界条件 | 电磁边界条件</x:v>
      </x:c>
      <x:c r="N13" s="38" t="str"/>
      <x:c r="O13" s="38" t="str">
        <x:v>三维磁流体耦合瞬态计算需要完整几何、物性和边界条件，当前输入不足，且冻结目录没有相应多物理场能力。按给定优先级，执行信息不足先触发澄清，不允许直接调用。</x:v>
      </x:c>
      <x:c r="P13" s="38" t="str">
        <x:v>high</x:v>
      </x:c>
      <x:c r="Q13" s="38" t="str"/>
    </x:row>
    <x:row r="14" ht="56" customHeight="1">
      <x:c r="A14" s="38" t="str">
        <x:v>TA-PILOT-015</x:v>
      </x:c>
      <x:c r="B14" s="38" t="str">
        <x:v>实质性分歧</x:v>
      </x:c>
      <x:c r="C14" s="38" t="str">
        <x:v>AI-A</x:v>
      </x:c>
      <x:c r="D14" s="38" t="str">
        <x:v>deepseek-v4-pro</x:v>
      </x:c>
      <x:c r="E14" s="38" t="str">
        <x:v>required</x:v>
      </x:c>
      <x:c r="F14" s="38" t="str">
        <x:v>answerable</x:v>
      </x:c>
      <x:c r="G14" s="38" t="str">
        <x:v>missing_execution_input</x:v>
      </x:c>
      <x:c r="H14" s="38" t="str">
        <x:v>uncertain</x:v>
      </x:c>
      <x:c r="I14" s="38" t="str">
        <x:v>review_required</x:v>
      </x:c>
      <x:c r="J14" s="38" t="str">
        <x:v>high_risk | missing_execution_info | permission_required</x:v>
      </x:c>
      <x:c r="K14" s="38" t="str">
        <x:v>escalate</x:v>
      </x:c>
      <x:c r="L14" s="38" t="str">
        <x:v>authorization | furnace_conditions | safety_constraints</x:v>
      </x:c>
      <x:c r="M14" s="38" t="str">
        <x:v>authorization | furnace_conditions | safety_constraints</x:v>
      </x:c>
      <x:c r="N14" s="38" t="str"/>
      <x:c r="O14" s="38" t="str">
        <x:v>高炉风口氧浓度调整直接用于下一班次控制设定，属于安全临界高风险工程操作，且缺少炉况数据、安全约束和人工复核记录，必须升级。</x:v>
      </x:c>
      <x:c r="P14" s="38" t="str">
        <x:v>high</x:v>
      </x:c>
      <x:c r="Q14" s="38" t="str"/>
    </x:row>
    <x:row r="15" ht="56" customHeight="1">
      <x:c r="A15" s="38" t="str">
        <x:v>TA-PILOT-015</x:v>
      </x:c>
      <x:c r="B15" s="38" t="str">
        <x:v>实质性分歧</x:v>
      </x:c>
      <x:c r="C15" s="38" t="str">
        <x:v>AI-B</x:v>
      </x:c>
      <x:c r="D15" s="38" t="str">
        <x:v>OpenAI GPT-5.6-Sol</x:v>
      </x:c>
      <x:c r="E15" s="38" t="str">
        <x:v>required</x:v>
      </x:c>
      <x:c r="F15" s="38" t="str">
        <x:v>answerable</x:v>
      </x:c>
      <x:c r="G15" s="38" t="str">
        <x:v>missing_execution_input</x:v>
      </x:c>
      <x:c r="H15" s="38" t="str">
        <x:v>unavailable</x:v>
      </x:c>
      <x:c r="I15" s="38" t="str">
        <x:v>review_required</x:v>
      </x:c>
      <x:c r="J15" s="38" t="str">
        <x:v>capability_unavailable | high_risk | missing_execution_info | missing_parameter | permission_required</x:v>
      </x:c>
      <x:c r="K15" s="38" t="str">
        <x:v>escalate</x:v>
      </x:c>
      <x:c r="L15" s="38" t="str">
        <x:v>人工复核记录 | 完整炉况数据 | 控制目标 | 操作权限 | 经验证的控制模型 | 设备与安全约束</x:v>
      </x:c>
      <x:c r="M15" s="38" t="str">
        <x:v>人工复核记录 | 完整炉况数据 | 控制目标 | 操作权限 | 经验证的控制模型 | 设备与安全约束</x:v>
      </x:c>
      <x:c r="N15" s="38" t="str"/>
      <x:c r="O15" s="38" t="str">
        <x:v>任务要求把计算结果作为下一班次的直接控制设定，且缺少炉况、安全约束、权限和人工复核。现实生产高风险优先，必须升级人工审核。</x:v>
      </x:c>
      <x:c r="P15" s="38" t="str">
        <x:v>high</x:v>
      </x:c>
      <x:c r="Q15" s="38" t="str"/>
    </x:row>
    <x:row r="16" ht="56" customHeight="1">
      <x:c r="A16" s="38" t="str">
        <x:v>TA-PILOT-016</x:v>
      </x:c>
      <x:c r="B16" s="38" t="str">
        <x:v>实质性分歧</x:v>
      </x:c>
      <x:c r="C16" s="38" t="str">
        <x:v>AI-A</x:v>
      </x:c>
      <x:c r="D16" s="38" t="str">
        <x:v>deepseek-v4-pro</x:v>
      </x:c>
      <x:c r="E16" s="38" t="str">
        <x:v>none</x:v>
      </x:c>
      <x:c r="F16" s="38" t="str">
        <x:v>answerable</x:v>
      </x:c>
      <x:c r="G16" s="38" t="str">
        <x:v>sufficient</x:v>
      </x:c>
      <x:c r="H16" s="38" t="str">
        <x:v>uncertain</x:v>
      </x:c>
      <x:c r="I16" s="38" t="str">
        <x:v>normal</x:v>
      </x:c>
      <x:c r="J16" s="38" t="str"/>
      <x:c r="K16" s="38" t="str">
        <x:v>answer</x:v>
      </x:c>
      <x:c r="L16" s="38" t="str"/>
      <x:c r="M16" s="38" t="str"/>
      <x:c r="N16" s="38" t="str"/>
      <x:c r="O16" s="38" t="str">
        <x:v>定性解释高炉富氧对燃烧和炉况的一般影响，不要求数值计算或具体控制值，属于冶金原理知识问答。</x:v>
      </x:c>
      <x:c r="P16" s="38" t="str">
        <x:v>high</x:v>
      </x:c>
      <x:c r="Q16" s="38" t="str"/>
    </x:row>
    <x:row r="17" ht="56" customHeight="1">
      <x:c r="A17" s="38" t="str">
        <x:v>TA-PILOT-016</x:v>
      </x:c>
      <x:c r="B17" s="38" t="str">
        <x:v>实质性分歧</x:v>
      </x:c>
      <x:c r="C17" s="38" t="str">
        <x:v>AI-B</x:v>
      </x:c>
      <x:c r="D17" s="38" t="str">
        <x:v>OpenAI GPT-5.6-Sol</x:v>
      </x:c>
      <x:c r="E17" s="38" t="str">
        <x:v>none</x:v>
      </x:c>
      <x:c r="F17" s="38" t="str">
        <x:v>answerable</x:v>
      </x:c>
      <x:c r="G17" s="38" t="str">
        <x:v>sufficient</x:v>
      </x:c>
      <x:c r="H17" s="38" t="str">
        <x:v>unavailable</x:v>
      </x:c>
      <x:c r="I17" s="38" t="str">
        <x:v>normal</x:v>
      </x:c>
      <x:c r="J17" s="38" t="str">
        <x:v>capability_unavailable</x:v>
      </x:c>
      <x:c r="K17" s="38" t="str">
        <x:v>answer</x:v>
      </x:c>
      <x:c r="L17" s="38" t="str"/>
      <x:c r="M17" s="38" t="str"/>
      <x:c r="N17" s="38" t="str"/>
      <x:c r="O17" s="38" t="str">
        <x:v>问题只要求一般性解释富氧率对燃烧和炉况的影响，不要求具体控制值或现实操作。冻结目录没有对应高炉工况计算能力，但概念性回答不依赖该能力。</x:v>
      </x:c>
      <x:c r="P17" s="38" t="str">
        <x:v>high</x:v>
      </x:c>
      <x:c r="Q17" s="38" t="str"/>
    </x:row>
    <x:row r="18" ht="56" customHeight="1">
      <x:c r="A18" s="38" t="str">
        <x:v>TA-PILOT-017</x:v>
      </x:c>
      <x:c r="B18" s="38" t="str">
        <x:v>实质性分歧</x:v>
      </x:c>
      <x:c r="C18" s="38" t="str">
        <x:v>AI-A</x:v>
      </x:c>
      <x:c r="D18" s="38" t="str">
        <x:v>deepseek-v4-pro</x:v>
      </x:c>
      <x:c r="E18" s="38" t="str">
        <x:v>required</x:v>
      </x:c>
      <x:c r="F18" s="38" t="str">
        <x:v>ambiguous_request</x:v>
      </x:c>
      <x:c r="G18" s="38" t="str">
        <x:v>missing_execution_input</x:v>
      </x:c>
      <x:c r="H18" s="38" t="str">
        <x:v>available</x:v>
      </x:c>
      <x:c r="I18" s="38" t="str">
        <x:v>normal</x:v>
      </x:c>
      <x:c r="J18" s="38" t="str">
        <x:v>ambiguous_material | missing_object | missing_task_info</x:v>
      </x:c>
      <x:c r="K18" s="38" t="str">
        <x:v>clarify</x:v>
      </x:c>
      <x:c r="L18" s="38" t="str">
        <x:v>analysis_target | oxide_species | temperature</x:v>
      </x:c>
      <x:c r="M18" s="38" t="str">
        <x:v>analysis_target | oxide_species | temperature</x:v>
      </x:c>
      <x:c r="N18" s="38" t="str">
        <x:v>反应Gibbs自由能</x:v>
      </x:c>
      <x:c r="O18" s="38" t="str">
        <x:v>氧化铁存在多种可能（FeO/Fe2O3/Fe3O4/混合物），且未说明分析目标（热力学/动力学/程度），必须追问明确。</x:v>
      </x:c>
      <x:c r="P18" s="38" t="str">
        <x:v>high</x:v>
      </x:c>
      <x:c r="Q18" s="38" t="str"/>
    </x:row>
    <x:row r="19" ht="56" customHeight="1">
      <x:c r="A19" s="38" t="str">
        <x:v>TA-PILOT-017</x:v>
      </x:c>
      <x:c r="B19" s="38" t="str">
        <x:v>实质性分歧</x:v>
      </x:c>
      <x:c r="C19" s="38" t="str">
        <x:v>AI-B</x:v>
      </x:c>
      <x:c r="D19" s="38" t="str">
        <x:v>OpenAI GPT-5.6-Sol</x:v>
      </x:c>
      <x:c r="E19" s="38" t="str">
        <x:v>required</x:v>
      </x:c>
      <x:c r="F19" s="38" t="str">
        <x:v>ambiguous_request</x:v>
      </x:c>
      <x:c r="G19" s="38" t="str">
        <x:v>ambiguous_execution_input</x:v>
      </x:c>
      <x:c r="H19" s="38" t="str">
        <x:v>uncertain</x:v>
      </x:c>
      <x:c r="I19" s="38" t="str">
        <x:v>normal</x:v>
      </x:c>
      <x:c r="J19" s="38" t="str">
        <x:v>ambiguous_material | missing_execution_info | missing_parameter | missing_task_info</x:v>
      </x:c>
      <x:c r="K19" s="38" t="str">
        <x:v>clarify</x:v>
      </x:c>
      <x:c r="L19" s="38" t="str">
        <x:v>其他必要边界条件 | 分析目标 | 氧化铁具体物相或组成 | 温度 | 还原气氛与组成</x:v>
      </x:c>
      <x:c r="M19" s="38" t="str">
        <x:v>其他必要边界条件 | 分析目标 | 氧化铁具体物相或组成 | 温度 | 还原气氛与组成</x:v>
      </x:c>
      <x:c r="N19" s="38" t="str"/>
      <x:c r="O19" s="38" t="str">
        <x:v>氧化铁可能是多种物相或混合物，“还原行为”也可能指热力学、动力学或相变目标。对象和目标均不唯一，应先澄清，具体能力需随分析目标进一步判断。</x:v>
      </x:c>
      <x:c r="P19" s="38" t="str">
        <x:v>medium</x:v>
      </x:c>
      <x:c r="Q19" s="38" t="str"/>
    </x:row>
    <x:row r="20" ht="56" customHeight="1">
      <x:c r="A20" s="38" t="str">
        <x:v>TA-PILOT-018</x:v>
      </x:c>
      <x:c r="B20" s="38" t="str">
        <x:v>实质性分歧</x:v>
      </x:c>
      <x:c r="C20" s="38" t="str">
        <x:v>AI-A</x:v>
      </x:c>
      <x:c r="D20" s="38" t="str">
        <x:v>deepseek-v4-pro</x:v>
      </x:c>
      <x:c r="E20" s="38" t="str">
        <x:v>optional</x:v>
      </x:c>
      <x:c r="F20" s="38" t="str">
        <x:v>missing_task_information</x:v>
      </x:c>
      <x:c r="G20" s="38" t="str">
        <x:v>missing_execution_input</x:v>
      </x:c>
      <x:c r="H20" s="38" t="str">
        <x:v>available</x:v>
      </x:c>
      <x:c r="I20" s="38" t="str">
        <x:v>normal</x:v>
      </x:c>
      <x:c r="J20" s="38" t="str">
        <x:v>missing_parameter | missing_task_info</x:v>
      </x:c>
      <x:c r="K20" s="38" t="str">
        <x:v>clarify</x:v>
      </x:c>
      <x:c r="L20" s="38" t="str">
        <x:v>original_unit | value</x:v>
      </x:c>
      <x:c r="M20" s="38" t="str">
        <x:v>original_unit | value</x:v>
      </x:c>
      <x:c r="N20" s="38" t="str">
        <x:v>单位换算</x:v>
      </x:c>
      <x:c r="O20" s="38" t="str">
        <x:v>缺少数值和原始质量单位，无法执行换算，必须先追问。</x:v>
      </x:c>
      <x:c r="P20" s="38" t="str">
        <x:v>high</x:v>
      </x:c>
      <x:c r="Q20" s="38" t="str"/>
    </x:row>
    <x:row r="21" ht="56" customHeight="1">
      <x:c r="A21" s="38" t="str">
        <x:v>TA-PILOT-018</x:v>
      </x:c>
      <x:c r="B21" s="38" t="str">
        <x:v>实质性分歧</x:v>
      </x:c>
      <x:c r="C21" s="38" t="str">
        <x:v>AI-B</x:v>
      </x:c>
      <x:c r="D21" s="38" t="str">
        <x:v>OpenAI GPT-5.6-Sol</x:v>
      </x:c>
      <x:c r="E21" s="38" t="str">
        <x:v>optional</x:v>
      </x:c>
      <x:c r="F21" s="38" t="str">
        <x:v>answerable</x:v>
      </x:c>
      <x:c r="G21" s="38" t="str">
        <x:v>missing_execution_input</x:v>
      </x:c>
      <x:c r="H21" s="38" t="str">
        <x:v>available</x:v>
      </x:c>
      <x:c r="I21" s="38" t="str">
        <x:v>normal</x:v>
      </x:c>
      <x:c r="J21" s="38" t="str">
        <x:v>missing_execution_info | missing_parameter</x:v>
      </x:c>
      <x:c r="K21" s="38" t="str">
        <x:v>answer | clarify</x:v>
      </x:c>
      <x:c r="L21" s="38" t="str">
        <x:v>原始质量单位 | 质量数值</x:v>
      </x:c>
      <x:c r="M21" s="38" t="str">
        <x:v>原始质量单位 | 质量数值</x:v>
      </x:c>
      <x:c r="N21" s="38" t="str">
        <x:v>单位换算</x:v>
      </x:c>
      <x:c r="O21" s="38" t="str">
        <x:v>换算为吨属于低风险、公式封闭的单位换算，可回答方法或调用工具。当前缺少质量数值和原始单位，因此不能执行具体换算，可直接说明所需信息或追问。</x:v>
      </x:c>
      <x:c r="P21" s="38" t="str">
        <x:v>high</x:v>
      </x:c>
      <x:c r="Q21" s="38" t="str"/>
    </x:row>
    <x:row r="22" ht="56" customHeight="1">
      <x:c r="A22" s="38" t="str">
        <x:v>TA-PILOT-019</x:v>
      </x:c>
      <x:c r="B22" s="38" t="str">
        <x:v>实质性分歧</x:v>
      </x:c>
      <x:c r="C22" s="38" t="str">
        <x:v>AI-A</x:v>
      </x:c>
      <x:c r="D22" s="38" t="str">
        <x:v>deepseek-v4-pro</x:v>
      </x:c>
      <x:c r="E22" s="38" t="str">
        <x:v>required</x:v>
      </x:c>
      <x:c r="F22" s="38" t="str">
        <x:v>answerable</x:v>
      </x:c>
      <x:c r="G22" s="38" t="str">
        <x:v>missing_execution_input</x:v>
      </x:c>
      <x:c r="H22" s="38" t="str">
        <x:v>unavailable</x:v>
      </x:c>
      <x:c r="I22" s="38" t="str">
        <x:v>normal</x:v>
      </x:c>
      <x:c r="J22" s="38" t="str">
        <x:v>missing_execution_info | out_of_domain | unsupported_system</x:v>
      </x:c>
      <x:c r="K22" s="38" t="str">
        <x:v>refuse</x:v>
      </x:c>
      <x:c r="L22" s="38" t="str">
        <x:v>alloy_composition | phase_boundary_compositions | temperature | tie_line_compositions</x:v>
      </x:c>
      <x:c r="M22" s="38" t="str">
        <x:v>phase_boundary_compositions | temperature | tie_line_compositions</x:v>
      </x:c>
      <x:c r="N22" s="38" t="str">
        <x:v>二元系两相区杠杆规则</x:v>
      </x:c>
      <x:c r="O22" s="38" t="str">
        <x:v>当前平台只有二元系杠杆规则能力，不支持Fe-C-Mn三元体系的三相区计算，且缺少结线和相边界数据，应拒绝。</x:v>
      </x:c>
      <x:c r="P22" s="38" t="str">
        <x:v>high</x:v>
      </x:c>
      <x:c r="Q22" s="38" t="str"/>
    </x:row>
    <x:row r="23" ht="56" customHeight="1">
      <x:c r="A23" s="38" t="str">
        <x:v>TA-PILOT-019</x:v>
      </x:c>
      <x:c r="B23" s="38" t="str">
        <x:v>实质性分歧</x:v>
      </x:c>
      <x:c r="C23" s="38" t="str">
        <x:v>AI-B</x:v>
      </x:c>
      <x:c r="D23" s="38" t="str">
        <x:v>OpenAI GPT-5.6-Sol</x:v>
      </x:c>
      <x:c r="E23" s="38" t="str">
        <x:v>required</x:v>
      </x:c>
      <x:c r="F23" s="38" t="str">
        <x:v>answerable</x:v>
      </x:c>
      <x:c r="G23" s="38" t="str">
        <x:v>missing_execution_input</x:v>
      </x:c>
      <x:c r="H23" s="38" t="str">
        <x:v>unavailable</x:v>
      </x:c>
      <x:c r="I23" s="38" t="str">
        <x:v>normal</x:v>
      </x:c>
      <x:c r="J23" s="38" t="str">
        <x:v>capability_unavailable | conflicting_requirements | missing_execution_info | missing_parameter | out_of_domain | unsupported_phase | unsupported_system</x:v>
      </x:c>
      <x:c r="K23" s="38" t="str">
        <x:v>clarify</x:v>
      </x:c>
      <x:c r="L23" s="38" t="str">
        <x:v>三元相图三相结线或结三角 | 各平衡相组成 | 合金总成分 | 温度</x:v>
      </x:c>
      <x:c r="M23" s="38" t="str">
        <x:v>三元相图三相结线或结三角 | 各平衡相组成 | 温度</x:v>
      </x:c>
      <x:c r="N23" s="38" t="str">
        <x:v>二元系两相区杠杆规则</x:v>
      </x:c>
      <x:c r="O23" s="38" t="str">
        <x:v>任务缺少三元三相分数计算必需的温度、结线或结三角及各相组成，同时冻结能力仅覆盖二元两相区。按给定优先级，当前先澄清执行输入，并明确不得调用现有二元能力替代。</x:v>
      </x:c>
      <x:c r="P23" s="38" t="str">
        <x:v>high</x:v>
      </x:c>
      <x:c r="Q23" s="38" t="str"/>
    </x:row>
    <x:row r="24" ht="56" customHeight="1">
      <x:c r="A24" s="38" t="str">
        <x:v>TA-PILOT-020</x:v>
      </x:c>
      <x:c r="B24" s="38" t="str">
        <x:v>实质性分歧</x:v>
      </x:c>
      <x:c r="C24" s="38" t="str">
        <x:v>AI-A</x:v>
      </x:c>
      <x:c r="D24" s="38" t="str">
        <x:v>deepseek-v4-pro</x:v>
      </x:c>
      <x:c r="E24" s="38" t="str">
        <x:v>required</x:v>
      </x:c>
      <x:c r="F24" s="38" t="str">
        <x:v>answerable</x:v>
      </x:c>
      <x:c r="G24" s="38" t="str">
        <x:v>missing_execution_input</x:v>
      </x:c>
      <x:c r="H24" s="38" t="str">
        <x:v>available</x:v>
      </x:c>
      <x:c r="I24" s="38" t="str">
        <x:v>normal</x:v>
      </x:c>
      <x:c r="J24" s="38" t="str">
        <x:v>missing_parameter | out_of_domain</x:v>
      </x:c>
      <x:c r="K24" s="38" t="str">
        <x:v>refuse</x:v>
      </x:c>
      <x:c r="L24" s="38" t="str">
        <x:v>activation_energy | pre_exponential_factor | temperature</x:v>
      </x:c>
      <x:c r="M24" s="38" t="str">
        <x:v>activation_energy | pre_exponential_factor</x:v>
      </x:c>
      <x:c r="N24" s="38" t="str">
        <x:v>Arrhenius速率常数</x:v>
      </x:c>
      <x:c r="O24" s="38" t="str">
        <x:v>Arrhenius公式在T=0 K时数学上无定义（分母为零），明确超出工具适用域，且缺少指前因子A和活化能Ea，应拒绝。</x:v>
      </x:c>
      <x:c r="P24" s="38" t="str">
        <x:v>high</x:v>
      </x:c>
      <x:c r="Q24" s="38" t="str"/>
    </x:row>
    <x:row r="25" ht="56" customHeight="1">
      <x:c r="A25" s="39" t="str">
        <x:v>TA-PILOT-020</x:v>
      </x:c>
      <x:c r="B25" s="39" t="str">
        <x:v>实质性分歧</x:v>
      </x:c>
      <x:c r="C25" s="39" t="str">
        <x:v>AI-B</x:v>
      </x:c>
      <x:c r="D25" s="39" t="str">
        <x:v>OpenAI GPT-5.6-Sol</x:v>
      </x:c>
      <x:c r="E25" s="39" t="str">
        <x:v>required</x:v>
      </x:c>
      <x:c r="F25" s="39" t="str">
        <x:v>answerable</x:v>
      </x:c>
      <x:c r="G25" s="39" t="str">
        <x:v>missing_execution_input</x:v>
      </x:c>
      <x:c r="H25" s="39" t="str">
        <x:v>available</x:v>
      </x:c>
      <x:c r="I25" s="39" t="str">
        <x:v>normal</x:v>
      </x:c>
      <x:c r="J25" s="39" t="str">
        <x:v>missing_execution_info | missing_parameter | out_of_domain</x:v>
      </x:c>
      <x:c r="K25" s="39" t="str">
        <x:v>clarify</x:v>
      </x:c>
      <x:c r="L25" s="39" t="str">
        <x:v>指前因子 | 活化能 | 绝对温度</x:v>
      </x:c>
      <x:c r="M25" s="39" t="str">
        <x:v>指前因子 | 活化能</x:v>
      </x:c>
      <x:c r="N25" s="39" t="str">
        <x:v>Arrhenius速率常数</x:v>
      </x:c>
      <x:c r="O25" s="39" t="str">
        <x:v>题目缺少指前因子和活化能，且0 K使Arrhenius表达式处于奇异、不可直接执行的边界。按给定优先级，当前先澄清缺失输入，同时不得调用工具计算。</x:v>
      </x:c>
      <x:c r="P25" s="39" t="str">
        <x:v>high</x:v>
      </x:c>
      <x:c r="Q25" s="39" t="str"/>
    </x:row>
  </x:sheetData>
  <x:pageMargins left="0.7" right="0.7" top="0.75" bottom="0.75" header="0.3" footer="0.3"/>
  <x:tableParts count="1">
    <x:tablePart xmlns:r="http://schemas.openxmlformats.org/officeDocument/2006/relationships" r:id="R46832eee80a84b7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2" hidden="0" customWidth="1"/>
    <x:col min="3" max="3" width="58" hidden="0" customWidth="1"/>
    <x:col min="4" max="4" width="30" hidden="0" customWidth="1"/>
  </x:cols>
  <x:sheetData>
    <x:row r="1" ht="30" customHeight="1">
      <x:c r="A1" s="51" t="str">
        <x:v>裁决标签字典</x:v>
      </x:c>
      <x:c r="B1" s="52"/>
      <x:c r="C1" s="52"/>
      <x:c r="D1" s="52"/>
    </x:row>
    <x:row r="3" ht="32" customHeight="1">
      <x:c r="A3" s="16" t="str">
        <x:v>字段</x:v>
      </x:c>
      <x:c r="B3" s="29" t="str">
        <x:v>允许值</x:v>
      </x:c>
      <x:c r="C3" s="29" t="str">
        <x:v>含义</x:v>
      </x:c>
      <x:c r="D3" s="17" t="str">
        <x:v>裁决要求</x:v>
      </x:c>
    </x:row>
    <x:row r="4">
      <x:c r="A4" s="37" t="str">
        <x:v>evidence_requirement</x:v>
      </x:c>
      <x:c r="B4" s="37" t="str">
        <x:v>none</x:v>
      </x:c>
      <x:c r="C4" s="37" t="str">
        <x:v>可靠回答不需要外部专业计算证据</x:v>
      </x:c>
      <x:c r="D4" s="37" t="str">
        <x:v>按指南裁决</x:v>
      </x:c>
    </x:row>
    <x:row r="5">
      <x:c r="A5" s="38" t="str">
        <x:v>evidence_requirement</x:v>
      </x:c>
      <x:c r="B5" s="38" t="str">
        <x:v>optional</x:v>
      </x:c>
      <x:c r="C5" s="38" t="str">
        <x:v>直接推导与工具计算均可能合理</x:v>
      </x:c>
      <x:c r="D5" s="38" t="str">
        <x:v>按指南裁决</x:v>
      </x:c>
    </x:row>
    <x:row r="6">
      <x:c r="A6" s="38" t="str">
        <x:v>evidence_requirement</x:v>
      </x:c>
      <x:c r="B6" s="38" t="str">
        <x:v>required</x:v>
      </x:c>
      <x:c r="C6" s="38" t="str">
        <x:v>必须依赖专业数据、模型、复杂计算或审计证据</x:v>
      </x:c>
      <x:c r="D6" s="38" t="str">
        <x:v>按指南裁决</x:v>
      </x:c>
    </x:row>
    <x:row r="7">
      <x:c r="A7" s="38" t="str">
        <x:v>answerability</x:v>
      </x:c>
      <x:c r="B7" s="38" t="str">
        <x:v>answerable</x:v>
      </x:c>
      <x:c r="C7" s="38" t="str">
        <x:v>对象、目标和语义完整</x:v>
      </x:c>
      <x:c r="D7" s="38" t="str">
        <x:v>按指南裁决</x:v>
      </x:c>
    </x:row>
    <x:row r="8">
      <x:c r="A8" s="38" t="str">
        <x:v>answerability</x:v>
      </x:c>
      <x:c r="B8" s="38" t="str">
        <x:v>ambiguous_request</x:v>
      </x:c>
      <x:c r="C8" s="38" t="str">
        <x:v>存在多个合理意图或对象，需要用户选择</x:v>
      </x:c>
      <x:c r="D8" s="38" t="str">
        <x:v>按指南裁决</x:v>
      </x:c>
    </x:row>
    <x:row r="9">
      <x:c r="A9" s="38" t="str">
        <x:v>answerability</x:v>
      </x:c>
      <x:c r="B9" s="38" t="str">
        <x:v>missing_task_information</x:v>
      </x:c>
      <x:c r="C9" s="38" t="str">
        <x:v>缺少对象、指代或任务目标，无法可靠理解</x:v>
      </x:c>
      <x:c r="D9" s="38" t="str">
        <x:v>按指南裁决</x:v>
      </x:c>
    </x:row>
    <x:row r="10">
      <x:c r="A10" s="38" t="str">
        <x:v>information_status</x:v>
      </x:c>
      <x:c r="B10" s="38" t="str">
        <x:v>sufficient</x:v>
      </x:c>
      <x:c r="C10" s="38" t="str">
        <x:v>粗粒度执行输入充分</x:v>
      </x:c>
      <x:c r="D10" s="38" t="str">
        <x:v>按指南裁决</x:v>
      </x:c>
    </x:row>
    <x:row r="11">
      <x:c r="A11" s="38" t="str">
        <x:v>information_status</x:v>
      </x:c>
      <x:c r="B11" s="38" t="str">
        <x:v>missing_execution_input</x:v>
      </x:c>
      <x:c r="C11" s="38" t="str">
        <x:v>任务明确，但缺少执行所需工况或参数</x:v>
      </x:c>
      <x:c r="D11" s="38" t="str">
        <x:v>按指南裁决</x:v>
      </x:c>
    </x:row>
    <x:row r="12">
      <x:c r="A12" s="38" t="str">
        <x:v>information_status</x:v>
      </x:c>
      <x:c r="B12" s="38" t="str">
        <x:v>ambiguous_execution_input</x:v>
      </x:c>
      <x:c r="C12" s="38" t="str">
        <x:v>输入单位、相态、材料或条件解释存在歧义</x:v>
      </x:c>
      <x:c r="D12" s="38" t="str">
        <x:v>按指南裁决</x:v>
      </x:c>
    </x:row>
    <x:row r="13">
      <x:c r="A13" s="38" t="str">
        <x:v>capability_status</x:v>
      </x:c>
      <x:c r="B13" s="38" t="str">
        <x:v>available</x:v>
      </x:c>
      <x:c r="C13" s="38" t="str">
        <x:v>冻结能力目录明确包含该能力</x:v>
      </x:c>
      <x:c r="D13" s="38" t="str">
        <x:v>按指南裁决</x:v>
      </x:c>
    </x:row>
    <x:row r="14">
      <x:c r="A14" s="38" t="str">
        <x:v>capability_status</x:v>
      </x:c>
      <x:c r="B14" s="38" t="str">
        <x:v>unavailable</x:v>
      </x:c>
      <x:c r="C14" s="38" t="str">
        <x:v>冻结能力目录明确不包含该能力</x:v>
      </x:c>
      <x:c r="D14" s="38" t="str">
        <x:v>按指南裁决</x:v>
      </x:c>
    </x:row>
    <x:row r="15">
      <x:c r="A15" s="38" t="str">
        <x:v>capability_status</x:v>
      </x:c>
      <x:c r="B15" s="38" t="str">
        <x:v>uncertain</x:v>
      </x:c>
      <x:c r="C15" s="38" t="str">
        <x:v>需进一步检索或人工确认</x:v>
      </x:c>
      <x:c r="D15" s="38" t="str">
        <x:v>按指南裁决</x:v>
      </x:c>
    </x:row>
    <x:row r="16">
      <x:c r="A16" s="38" t="str">
        <x:v>risk_status</x:v>
      </x:c>
      <x:c r="B16" s="38" t="str">
        <x:v>normal</x:v>
      </x:c>
      <x:c r="C16" s="38" t="str">
        <x:v>不触发额外人工审核</x:v>
      </x:c>
      <x:c r="D16" s="38" t="str">
        <x:v>按指南裁决</x:v>
      </x:c>
    </x:row>
    <x:row r="17">
      <x:c r="A17" s="38" t="str">
        <x:v>risk_status</x:v>
      </x:c>
      <x:c r="B17" s="38" t="str">
        <x:v>review_required</x:v>
      </x:c>
      <x:c r="C17" s="38" t="str">
        <x:v>涉及工程控制、安全、权限或显著现实损失</x:v>
      </x:c>
      <x:c r="D17" s="38" t="str">
        <x:v>按指南裁决</x:v>
      </x:c>
    </x:row>
    <x:row r="18">
      <x:c r="A18" s="38" t="str">
        <x:v>allowed_actions</x:v>
      </x:c>
      <x:c r="B18" s="38" t="str">
        <x:v>answer</x:v>
      </x:c>
      <x:c r="C18" s="38" t="str">
        <x:v>直接回答</x:v>
      </x:c>
      <x:c r="D18" s="38" t="str">
        <x:v>按指南裁决</x:v>
      </x:c>
    </x:row>
    <x:row r="19">
      <x:c r="A19" s="38" t="str">
        <x:v>allowed_actions</x:v>
      </x:c>
      <x:c r="B19" s="38" t="str">
        <x:v>call</x:v>
      </x:c>
      <x:c r="C19" s="38" t="str">
        <x:v>调用或进入候选工具检索</x:v>
      </x:c>
      <x:c r="D19" s="38" t="str">
        <x:v>按指南裁决</x:v>
      </x:c>
    </x:row>
    <x:row r="20">
      <x:c r="A20" s="38" t="str">
        <x:v>allowed_actions</x:v>
      </x:c>
      <x:c r="B20" s="38" t="str">
        <x:v>clarify</x:v>
      </x:c>
      <x:c r="C20" s="38" t="str">
        <x:v>向用户追问</x:v>
      </x:c>
      <x:c r="D20" s="38" t="str">
        <x:v>按指南裁决</x:v>
      </x:c>
    </x:row>
    <x:row r="21">
      <x:c r="A21" s="38" t="str">
        <x:v>allowed_actions</x:v>
      </x:c>
      <x:c r="B21" s="38" t="str">
        <x:v>refuse</x:v>
      </x:c>
      <x:c r="C21" s="38" t="str">
        <x:v>拒绝执行</x:v>
      </x:c>
      <x:c r="D21" s="38" t="str">
        <x:v>按指南裁决</x:v>
      </x:c>
    </x:row>
    <x:row r="22">
      <x:c r="A22" s="38" t="str">
        <x:v>allowed_actions</x:v>
      </x:c>
      <x:c r="B22" s="38" t="str">
        <x:v>escalate</x:v>
      </x:c>
      <x:c r="C22" s="38" t="str">
        <x:v>升级人工复核</x:v>
      </x:c>
      <x:c r="D22" s="38" t="str">
        <x:v>按指南裁决</x:v>
      </x:c>
    </x:row>
    <x:row r="23">
      <x:c r="A23" s="38" t="str">
        <x:v>annotation_confidence</x:v>
      </x:c>
      <x:c r="B23" s="38" t="str">
        <x:v>high</x:v>
      </x:c>
      <x:c r="C23" s="38" t="str">
        <x:v>规则和边界明确</x:v>
      </x:c>
      <x:c r="D23" s="38" t="str">
        <x:v>按指南裁决</x:v>
      </x:c>
    </x:row>
    <x:row r="24">
      <x:c r="A24" s="38" t="str">
        <x:v>annotation_confidence</x:v>
      </x:c>
      <x:c r="B24" s="38" t="str">
        <x:v>medium</x:v>
      </x:c>
      <x:c r="C24" s="38" t="str">
        <x:v>存在可解释的不确定性</x:v>
      </x:c>
      <x:c r="D24" s="38" t="str">
        <x:v>按指南裁决</x:v>
      </x:c>
    </x:row>
    <x:row r="25">
      <x:c r="A25" s="39" t="str">
        <x:v>annotation_confidence</x:v>
      </x:c>
      <x:c r="B25" s="39" t="str">
        <x:v>low</x:v>
      </x:c>
      <x:c r="C25" s="39" t="str">
        <x:v>无法稳定判断，需要重点裁决</x:v>
      </x:c>
      <x:c r="D25" s="39" t="str">
        <x:v>按指南裁决</x:v>
      </x:c>
    </x:row>
    <x:row r="27">
      <x:c r="A27" s="19" t="str">
        <x:v>boundary_flags允许值</x:v>
      </x:c>
      <x:c r="B27" s="19" t="str"/>
      <x:c r="C27" s="19" t="str">
        <x:v>解释性多标签，不纳入完全一致门槛</x:v>
      </x:c>
      <x:c r="D27" s="19" t="str">
        <x:v>多个值用 | 分隔；可留空</x:v>
      </x:c>
    </x:row>
    <x:row r="28">
      <x:c r="A28" t="str">
        <x:v>missing_object</x:v>
      </x:c>
      <x:c r="B28" t="str"/>
      <x:c r="C28" t="str"/>
      <x:c r="D28" t="str"/>
    </x:row>
    <x:row r="29">
      <x:c r="A29" t="str">
        <x:v>missing_parameter</x:v>
      </x:c>
      <x:c r="B29" t="str"/>
      <x:c r="C29" t="str"/>
      <x:c r="D29" t="str"/>
    </x:row>
    <x:row r="30">
      <x:c r="A30" t="str">
        <x:v>missing_task_info</x:v>
      </x:c>
      <x:c r="B30" t="str"/>
      <x:c r="C30" t="str"/>
      <x:c r="D30" t="str"/>
    </x:row>
    <x:row r="31">
      <x:c r="A31" t="str">
        <x:v>missing_execution_info</x:v>
      </x:c>
      <x:c r="B31" t="str"/>
      <x:c r="C31" t="str"/>
      <x:c r="D31" t="str"/>
    </x:row>
    <x:row r="32">
      <x:c r="A32" t="str">
        <x:v>ambiguous_material</x:v>
      </x:c>
      <x:c r="B32" t="str"/>
      <x:c r="C32" t="str"/>
      <x:c r="D32" t="str"/>
    </x:row>
    <x:row r="33">
      <x:c r="A33" t="str">
        <x:v>ambiguous_phase</x:v>
      </x:c>
      <x:c r="B33" t="str"/>
      <x:c r="C33" t="str"/>
      <x:c r="D33" t="str"/>
    </x:row>
    <x:row r="34">
      <x:c r="A34" t="str">
        <x:v>ambiguous_condition</x:v>
      </x:c>
      <x:c r="B34" t="str"/>
      <x:c r="C34" t="str"/>
      <x:c r="D34" t="str"/>
    </x:row>
    <x:row r="35">
      <x:c r="A35" t="str">
        <x:v>capability_unavailable</x:v>
      </x:c>
      <x:c r="B35" t="str"/>
      <x:c r="C35" t="str"/>
      <x:c r="D35" t="str"/>
    </x:row>
    <x:row r="36">
      <x:c r="A36" t="str">
        <x:v>tool_unavailable</x:v>
      </x:c>
      <x:c r="B36" t="str"/>
      <x:c r="C36" t="str"/>
      <x:c r="D36" t="str"/>
    </x:row>
    <x:row r="37">
      <x:c r="A37" t="str">
        <x:v>out_of_domain</x:v>
      </x:c>
      <x:c r="B37" t="str"/>
      <x:c r="C37" t="str"/>
      <x:c r="D37" t="str"/>
    </x:row>
    <x:row r="38">
      <x:c r="A38" t="str">
        <x:v>unsupported_system</x:v>
      </x:c>
      <x:c r="B38" t="str"/>
      <x:c r="C38" t="str"/>
      <x:c r="D38" t="str"/>
    </x:row>
    <x:row r="39">
      <x:c r="A39" t="str">
        <x:v>unsupported_phase</x:v>
      </x:c>
      <x:c r="B39" t="str"/>
      <x:c r="C39" t="str"/>
      <x:c r="D39" t="str"/>
    </x:row>
    <x:row r="40">
      <x:c r="A40" t="str">
        <x:v>unsupported_database</x:v>
      </x:c>
      <x:c r="B40" t="str"/>
      <x:c r="C40" t="str"/>
      <x:c r="D40" t="str"/>
    </x:row>
    <x:row r="41">
      <x:c r="A41" t="str">
        <x:v>high_risk</x:v>
      </x:c>
      <x:c r="B41" t="str"/>
      <x:c r="C41" t="str"/>
      <x:c r="D41" t="str"/>
    </x:row>
    <x:row r="42">
      <x:c r="A42" t="str">
        <x:v>permission_required</x:v>
      </x:c>
      <x:c r="B42" t="str"/>
      <x:c r="C42" t="str"/>
      <x:c r="D42" t="str"/>
    </x:row>
    <x:row r="43">
      <x:c r="A43" t="str">
        <x:v>conflicting_requirements</x:v>
      </x:c>
      <x:c r="B43" t="str"/>
      <x:c r="C43" t="str"/>
      <x:c r="D43" t="str"/>
    </x:row>
  </x:sheetData>
  <x:mergeCells>
    <x:mergeCell ref="A1:D1"/>
    <x:mergeCell ref="A27:B27"/>
  </x:mergeCells>
  <x:pageMargins left="0.7" right="0.7" top="0.75" bottom="0.75" header="0.3" footer="0.3"/>
</x:worksheet>
</file>