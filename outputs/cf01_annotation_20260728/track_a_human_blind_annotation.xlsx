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ca5312a1f048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9f8f28bbdaa847ae"/>
    <x:sheet xmlns:r="http://schemas.openxmlformats.org/officeDocument/2006/relationships" name="人工盲标" sheetId="2" r:id="R549b95e60430495a"/>
    <x:sheet xmlns:r="http://schemas.openxmlformats.org/officeDocument/2006/relationships" name="标签字典" sheetId="3" r:id="Rfcf977bd8e2248d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9">
    <x:font>
      <x:sz val="11"/>
      <x:name val="Carlito"/>
    </x:font>
    <x:font>
      <x:b/>
      <x:sz val="16"/>
      <x:color rgb="FFFFFFFF"/>
      <x:name val="Carlito"/>
    </x:font>
    <x:font>
      <x:b/>
      <x:sz val="11"/>
      <x:color rgb="FF7C5700"/>
      <x:name val="Carlito"/>
    </x:font>
    <x:font>
      <x:b/>
      <x:sz val="11"/>
      <x:color rgb="FFFFFFFF"/>
      <x:name val="Carlito"/>
    </x:font>
    <x:font>
      <x:b/>
      <x:sz val="16"/>
      <x:color rgb="FFFFFFFF"/>
      <x:name val="Microsoft YaHei"/>
    </x:font>
    <x:font>
      <x:sz val="11"/>
      <x:name val="Microsoft YaHei"/>
    </x:font>
    <x:font>
      <x:b/>
      <x:sz val="11"/>
      <x:color rgb="FF7C5700"/>
      <x:name val="Microsoft YaHei"/>
    </x:font>
    <x:font>
      <x:b/>
      <x:sz val="11"/>
      <x:color rgb="FFFFFFFF"/>
      <x:name val="Microsoft YaHei"/>
    </x:font>
    <x:font>
      <x:sz val="10"/>
      <x:color rgb="FF1F2937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0F6B6D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CBD5E1"/>
      </x:right>
    </x:border>
    <x:border>
      <x:left style="thin">
        <x:color rgb="FFCBD5E1"/>
      </x:left>
    </x:border>
    <x:border>
      <x:left style="thin">
        <x:color rgb="FFD6B656"/>
      </x:left>
      <x:right style="thin">
        <x:color rgb="FFD6B656"/>
      </x:right>
      <x:top style="thin">
        <x:color rgb="FFD6B656"/>
      </x:top>
    </x:border>
    <x:border>
      <x:left style="thin">
        <x:color rgb="FFD6B656"/>
      </x:left>
      <x:right style="thin">
        <x:color rgb="FFD6B656"/>
      </x:right>
    </x:border>
    <x:border>
      <x:left style="thin">
        <x:color rgb="FFD6B656"/>
      </x:left>
      <x:right style="thin">
        <x:color rgb="FFD6B656"/>
      </x:right>
      <x:bottom style="thin">
        <x:color rgb="FFD6B656"/>
      </x:bottom>
    </x:border>
    <x:border>
      <x:left style="thin">
        <x:color rgb="FFCBD5E1"/>
      </x:left>
      <x:right style="thin">
        <x:color rgb="FFCBD5E1"/>
      </x:right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horizontal="center" vertical="center" wrapText="1"/>
    </x:xf>
    <x:xf numFmtId="0" fontId="7" fillId="4" borderId="2" xfId="0" applyNumberFormat="1" applyFont="1" applyFill="1" applyBorder="1" applyAlignment="1">
      <x:alignment horizontal="center" vertical="center" wrapText="1"/>
    </x:xf>
    <x:xf numFmtId="0" fontId="5" fillId="3" borderId="3" xfId="0" applyNumberFormat="1" applyFont="1" applyFill="1" applyBorder="1"/>
    <x:xf numFmtId="0" fontId="5" fillId="3" borderId="4" xfId="0" applyNumberFormat="1" applyFont="1" applyFill="1" applyBorder="1"/>
    <x:xf numFmtId="200" fontId="5" fillId="0" borderId="0" xfId="0" applyNumberFormat="1" applyFont="1" applyFill="1" applyBorder="1"/>
    <x:xf numFmtId="0" fontId="5" fillId="3" borderId="5" xfId="0" applyNumberFormat="1" applyFont="1" applyFill="1" applyBorder="1"/>
    <x:xf numFmtId="0" fontId="7" fillId="5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3" fillId="4" borderId="6" xfId="0" applyNumberFormat="1" applyFont="1" applyFill="1" applyBorder="1"/>
    <x:xf numFmtId="0" fontId="3" fillId="4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horizont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7" xfId="0" applyNumberFormat="1" applyFont="1" applyFill="1" applyBorder="1"/>
    <x:xf numFmtId="0" fontId="8" fillId="0" borderId="8" xfId="0" applyNumberFormat="1" applyFont="1" applyFill="1" applyBorder="1"/>
    <x:xf numFmtId="0" fontId="8" fillId="0" borderId="9" xfId="0" applyNumberFormat="1" applyFont="1" applyFill="1" applyBorder="1"/>
    <x:xf numFmtId="0" fontId="8" fillId="0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8" fillId="0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0" fontId="8" fillId="3" borderId="7" xfId="0" applyNumberFormat="1" applyFont="1" applyFill="1" applyBorder="1" applyAlignment="1">
      <x:alignment vertical="top" wrapText="1"/>
    </x:xf>
    <x:xf numFmtId="0" fontId="8" fillId="3" borderId="8" xfId="0" applyNumberFormat="1" applyFont="1" applyFill="1" applyBorder="1" applyAlignment="1">
      <x:alignment vertical="top" wrapText="1"/>
    </x:xf>
    <x:xf numFmtId="0" fontId="8" fillId="3" borderId="9" xfId="0" applyNumberFormat="1" applyFont="1" applyFill="1" applyBorder="1" applyAlignment="1">
      <x:alignment vertical="top" wrapText="1"/>
    </x:xf>
    <x:xf numFmtId="0" fontId="8" fillId="6" borderId="7" xfId="0" applyNumberFormat="1" applyFont="1" applyFill="1" applyBorder="1" applyAlignment="1">
      <x:alignment vertical="top" wrapText="1"/>
    </x:xf>
    <x:xf numFmtId="0" fontId="8" fillId="6" borderId="8" xfId="0" applyNumberFormat="1" applyFont="1" applyFill="1" applyBorder="1" applyAlignment="1">
      <x:alignment vertical="top" wrapText="1"/>
    </x:xf>
    <x:xf numFmtId="0" fontId="8" fillId="6" borderId="9" xfId="0" applyNumberFormat="1" applyFont="1" applyFill="1" applyBorder="1" applyAlignment="1">
      <x:alignment vertical="top" wrapText="1"/>
    </x:xf>
    <x:xf numFmtId="0" fontId="8" fillId="7" borderId="7" xfId="0" applyNumberFormat="1" applyFont="1" applyFill="1" applyBorder="1" applyAlignment="1">
      <x:alignment vertical="top" wrapText="1"/>
    </x:xf>
    <x:xf numFmtId="0" fontId="8" fillId="7" borderId="8" xfId="0" applyNumberFormat="1" applyFont="1" applyFill="1" applyBorder="1" applyAlignment="1">
      <x:alignment vertical="top" wrapText="1"/>
    </x:xf>
    <x:xf numFmtId="0" fontId="8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1"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672e9f44984a98" /><Relationship Type="http://schemas.openxmlformats.org/officeDocument/2006/relationships/theme" Target="/xl/theme/theme1.xml" Id="Rfcc1aa6b546d4e64" /><Relationship Type="http://schemas.openxmlformats.org/officeDocument/2006/relationships/sharedStrings" Target="/xl/sharedStrings.xml" Id="R742b21b9dcfa47c8" /><Relationship Type="http://schemas.openxmlformats.org/officeDocument/2006/relationships/worksheet" Target="/xl/worksheets/sheet1.xml" Id="R9f8f28bbdaa847ae" /><Relationship Type="http://schemas.openxmlformats.org/officeDocument/2006/relationships/worksheet" Target="/xl/worksheets/sheet2.xml" Id="R549b95e60430495a" /><Relationship Type="http://schemas.openxmlformats.org/officeDocument/2006/relationships/worksheet" Target="/xl/worksheets/sheet3.xml" Id="Rfcf977bd8e2248df" /><Relationship Type="http://schemas.microsoft.com/office/2017/10/relationships/person" Target="/xl/persons/person.xml" Id="Rf0bc0b39b1cd48d2" /></Relationships>
</file>

<file path=xl/persons/person.xml><?xml version="1.0" encoding="utf-8"?>
<xltc:personList xmlns:xltc="http://schemas.microsoft.com/office/spreadsheetml/2018/threadedcomments">
  <xltc:person displayName="Codex" id="{80C1D5FB-59CF-418F-83D0-0C7B3BDB9166}"/>
</xltc:personList>
</file>

<file path=xl/tables/table1.xml><?xml version="1.0" encoding="utf-8"?>
<x:table xmlns:x="http://schemas.openxmlformats.org/spreadsheetml/2006/main" id="1" name="HumanBlindAnnotationTable" displayName="HumanBlindAnnotationTable" ref="A1:Q21" headerRowCount="1" totalsRowCount="0" totalsRowShown="0">
  <x:tableColumns count="17">
    <x:tableColumn id="1" name="task_id"/>
    <x:tableColumn id="2" name="问题"/>
    <x:tableColumn id="3" name="上下文"/>
    <x:tableColumn id="4" name="evidence_requirement"/>
    <x:tableColumn id="5" name="answerability"/>
    <x:tableColumn id="6" name="information_status"/>
    <x:tableColumn id="7" name="capability_status"/>
    <x:tableColumn id="8" name="risk_status"/>
    <x:tableColumn id="9" name="boundary_flags（|分隔）"/>
    <x:tableColumn id="10" name="allowed_actions（|分隔）"/>
    <x:tableColumn id="11" name="required_inputs（|分隔）"/>
    <x:tableColumn id="12" name="missing_inputs（|分隔）"/>
    <x:tableColumn id="13" name="coarse_capability"/>
    <x:tableColumn id="14" name="action_reason"/>
    <x:tableColumn id="15" name="annotation_confidence"/>
    <x:tableColumn id="16" name="disagreement_notes"/>
    <x:tableColumn id="17" name="完成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756935b13bc49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2" hidden="0" customWidth="1"/>
    <x:col min="3" max="3" width="4" hidden="0" customWidth="1"/>
    <x:col min="4" max="4" width="18" hidden="0" customWidth="1"/>
    <x:col min="5" max="5" width="16" hidden="0" customWidth="1"/>
    <x:col min="6" max="6" width="8" hidden="0" customWidth="1"/>
  </x:cols>
  <x:sheetData>
    <x:row r="1" ht="30" customHeight="1">
      <x:c r="A1" s="25" t="str">
        <x:v>CF-01 Track A 人工首轮盲标工作簿</x:v>
      </x:c>
      <x:c r="B1" s="26"/>
      <x:c r="C1" s="26"/>
      <x:c r="D1" s="26"/>
      <x:c r="E1" s="26"/>
      <x:c r="F1" s="26"/>
    </x:row>
    <x:row r="2">
      <x:c r="A2" s="26"/>
      <x:c r="B2" s="26"/>
      <x:c r="C2" s="26"/>
      <x:c r="D2" s="26"/>
      <x:c r="E2" s="26"/>
      <x:c r="F2" s="26"/>
    </x:row>
    <x:row r="3">
      <x:c r="A3" s="27" t="str">
        <x:v>本工作簿不包含AI答案。请先独立完成20题，完成前不要打开AI复核工作簿。</x:v>
      </x:c>
      <x:c r="B3" s="27"/>
      <x:c r="C3" s="27"/>
      <x:c r="D3" s="27"/>
      <x:c r="E3" s="27"/>
      <x:c r="F3" s="27"/>
    </x:row>
    <x:row r="4">
      <x:c r="A4" s="26"/>
      <x:c r="B4" s="26"/>
      <x:c r="C4" s="26"/>
      <x:c r="D4" s="26"/>
      <x:c r="E4" s="26"/>
      <x:c r="F4" s="26"/>
    </x:row>
    <x:row r="5" ht="32" customHeight="1">
      <x:c r="A5" s="28" t="str">
        <x:v>元数据</x:v>
      </x:c>
      <x:c r="B5" s="29" t="str">
        <x:v>填写值</x:v>
      </x:c>
      <x:c r="C5" s="26"/>
      <x:c r="D5" s="28" t="str">
        <x:v>进度</x:v>
      </x:c>
      <x:c r="E5" s="29" t="str">
        <x:v>值</x:v>
      </x:c>
      <x:c r="F5" s="26"/>
    </x:row>
    <x:row r="6">
      <x:c r="A6" s="26" t="str">
        <x:v>标注者姓名</x:v>
      </x:c>
      <x:c r="B6" s="30" t="str"/>
      <x:c r="C6" s="26"/>
      <x:c r="D6" s="26" t="str">
        <x:v>任务总数</x:v>
      </x:c>
      <x:c r="E6" s="26" t="n">
        <x:v>20</x:v>
      </x:c>
      <x:c r="F6" s="26"/>
    </x:row>
    <x:row r="7">
      <x:c r="A7" s="26" t="str">
        <x:v>标注者角色</x:v>
      </x:c>
      <x:c r="B7" s="31" t="str"/>
      <x:c r="C7" s="26"/>
      <x:c r="D7" s="26" t="str">
        <x:v>已完成</x:v>
      </x:c>
      <x:c r="E7" s="26" t="n">
        <x:f>COUNTIF('人工盲标'!Q2:Q21,"已完成")</x:f>
        <x:v>0</x:v>
      </x:c>
      <x:c r="F7" s="26"/>
    </x:row>
    <x:row r="8">
      <x:c r="A8" s="26" t="str">
        <x:v>开始时间（含时区）</x:v>
      </x:c>
      <x:c r="B8" s="31" t="str"/>
      <x:c r="C8" s="26"/>
      <x:c r="D8" s="26" t="str">
        <x:v>待填写</x:v>
      </x:c>
      <x:c r="E8" s="26" t="n">
        <x:f>E6-E7</x:f>
        <x:v>20</x:v>
      </x:c>
      <x:c r="F8" s="26"/>
    </x:row>
    <x:row r="9">
      <x:c r="A9" s="26" t="str">
        <x:v>完成时间（含时区）</x:v>
      </x:c>
      <x:c r="B9" s="31" t="str"/>
      <x:c r="C9" s="26"/>
      <x:c r="D9" s="26" t="str">
        <x:v>完成率</x:v>
      </x:c>
      <x:c r="E9" s="32" t="n">
        <x:f>E7/E6</x:f>
        <x:v>0</x:v>
      </x:c>
      <x:c r="F9" s="26"/>
    </x:row>
    <x:row r="10">
      <x:c r="A10" s="26" t="str">
        <x:v>独立完成声明</x:v>
      </x:c>
      <x:c r="B10" s="33" t="str">
        <x:v>完成后填写：是</x:v>
      </x:c>
      <x:c r="C10" s="26"/>
      <x:c r="D10" s="26"/>
      <x:c r="E10" s="26"/>
      <x:c r="F10" s="26"/>
    </x:row>
    <x:row r="11">
      <x:c r="A11" s="26"/>
      <x:c r="B11" s="26"/>
      <x:c r="C11" s="26"/>
      <x:c r="D11" s="26"/>
      <x:c r="E11" s="26"/>
      <x:c r="F11" s="26"/>
    </x:row>
    <x:row r="12">
      <x:c r="A12" s="34" t="str">
        <x:v>填写规则</x:v>
      </x:c>
      <x:c r="B12" s="26" t="str"/>
      <x:c r="C12" s="26" t="str"/>
      <x:c r="D12" s="26" t="str"/>
      <x:c r="E12" s="26" t="str"/>
      <x:c r="F12" s="26" t="str"/>
    </x:row>
    <x:row r="13">
      <x:c r="A13" s="35" t="str">
        <x:v>1</x:v>
      </x:c>
      <x:c r="B13" s="35" t="str">
        <x:v>黄色列为人工填写区；题号、问题和上下文不得修改。</x:v>
      </x:c>
      <x:c r="C13" s="35" t="str"/>
      <x:c r="D13" s="35" t="str"/>
      <x:c r="E13" s="35" t="str"/>
      <x:c r="F13" s="35" t="str"/>
    </x:row>
    <x:row r="14">
      <x:c r="A14" s="35" t="str">
        <x:v>2</x:v>
      </x:c>
      <x:c r="B14" s="35" t="str">
        <x:v>D—H与O列使用下拉框；I—L多值字段用“ | ”分隔。</x:v>
      </x:c>
      <x:c r="C14" s="35" t="str"/>
      <x:c r="D14" s="35" t="str"/>
      <x:c r="E14" s="35" t="str"/>
      <x:c r="F14" s="35" t="str"/>
    </x:row>
    <x:row r="15">
      <x:c r="A15" s="35" t="str">
        <x:v>3</x:v>
      </x:c>
      <x:c r="B15" s="35" t="str">
        <x:v>allowed_actions必须至少有一个动作。</x:v>
      </x:c>
      <x:c r="C15" s="35" t="str"/>
      <x:c r="D15" s="35" t="str"/>
      <x:c r="E15" s="35" t="str"/>
      <x:c r="F15" s="35" t="str"/>
    </x:row>
    <x:row r="16">
      <x:c r="A16" s="35" t="str">
        <x:v>4</x:v>
      </x:c>
      <x:c r="B16" s="35" t="str">
        <x:v>不回答题目，也不计算题目数值，只做标签判断。</x:v>
      </x:c>
      <x:c r="C16" s="35" t="str"/>
      <x:c r="D16" s="35" t="str"/>
      <x:c r="E16" s="35" t="str"/>
      <x:c r="F16" s="35" t="str"/>
    </x:row>
    <x:row r="17">
      <x:c r="A17" s="35" t="str">
        <x:v>5</x:v>
      </x:c>
      <x:c r="B17" s="35" t="str">
        <x:v>信息不足时如实填写missing_inputs，并降低置信度。</x:v>
      </x:c>
      <x:c r="C17" s="35" t="str"/>
      <x:c r="D17" s="35" t="str"/>
      <x:c r="E17" s="35" t="str"/>
      <x:c r="F17" s="35" t="str"/>
    </x:row>
    <x:row r="18">
      <x:c r="A18" s="35" t="str">
        <x:v>6</x:v>
      </x:c>
      <x:c r="B18" s="35" t="str">
        <x:v>全部完成后保存原始文件，再进入AI差异复核。</x:v>
      </x:c>
      <x:c r="C18" s="35" t="str"/>
      <x:c r="D18" s="35" t="str"/>
      <x:c r="E18" s="35" t="str"/>
      <x:c r="F18" s="35" t="str"/>
    </x:row>
  </x:sheetData>
  <x:mergeCells>
    <x:mergeCell ref="A1:F1"/>
    <x:mergeCell ref="A3:F3"/>
    <x:mergeCell ref="A12:F12"/>
    <x:mergeCell ref="B13:F13"/>
    <x:mergeCell ref="B14:F14"/>
    <x:mergeCell ref="B15:F15"/>
    <x:mergeCell ref="B16:F16"/>
    <x:mergeCell ref="B17:F17"/>
    <x:mergeCell ref="B18:F1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4" hidden="0" customWidth="1"/>
    <x:col min="3" max="3" width="36" hidden="0" customWidth="1"/>
    <x:col min="4" max="4" width="19" hidden="0" customWidth="1"/>
    <x:col min="5" max="5" width="22" hidden="0" customWidth="1"/>
    <x:col min="6" max="6" width="24" hidden="0" customWidth="1"/>
    <x:col min="7" max="7" width="20" hidden="0" customWidth="1"/>
    <x:col min="8" max="8" width="18" hidden="0" customWidth="1"/>
    <x:col min="9" max="9" width="30" hidden="0" customWidth="1"/>
    <x:col min="10" max="10" width="27" hidden="0" customWidth="1"/>
    <x:col min="11" max="11" width="28" hidden="0" customWidth="1"/>
    <x:col min="12" max="12" width="28" hidden="0" customWidth="1"/>
    <x:col min="13" max="13" width="24" hidden="0" customWidth="1"/>
    <x:col min="14" max="14" width="48" hidden="0" customWidth="1"/>
    <x:col min="15" max="15" width="22" hidden="0" customWidth="1"/>
    <x:col min="16" max="16" width="30" hidden="0" customWidth="1"/>
    <x:col min="17" max="17" width="14" hidden="0" customWidth="1"/>
  </x:cols>
  <x:sheetData>
    <x:row r="1" ht="32" customHeight="1">
      <x:c r="A1" s="16" t="str">
        <x:v>task_id</x:v>
      </x:c>
      <x:c r="B1" s="39" t="str">
        <x:v>问题</x:v>
      </x:c>
      <x:c r="C1" s="39" t="str">
        <x:v>上下文</x:v>
      </x:c>
      <x:c r="D1" s="39" t="str">
        <x:v>evidence_requirement</x:v>
      </x:c>
      <x:c r="E1" s="39" t="str">
        <x:v>answerability</x:v>
      </x:c>
      <x:c r="F1" s="39" t="str">
        <x:v>information_status</x:v>
      </x:c>
      <x:c r="G1" s="39" t="str">
        <x:v>capability_status</x:v>
      </x:c>
      <x:c r="H1" s="39" t="str">
        <x:v>risk_status</x:v>
      </x:c>
      <x:c r="I1" s="39" t="str">
        <x:v>boundary_flags（|分隔）</x:v>
      </x:c>
      <x:c r="J1" s="39" t="str">
        <x:v>allowed_actions（|分隔）</x:v>
      </x:c>
      <x:c r="K1" s="39" t="str">
        <x:v>required_inputs（|分隔）</x:v>
      </x:c>
      <x:c r="L1" s="39" t="str">
        <x:v>missing_inputs（|分隔）</x:v>
      </x:c>
      <x:c r="M1" s="39" t="str">
        <x:v>coarse_capability</x:v>
      </x:c>
      <x:c r="N1" s="39" t="str">
        <x:v>action_reason</x:v>
      </x:c>
      <x:c r="O1" s="39" t="str">
        <x:v>annotation_confidence</x:v>
      </x:c>
      <x:c r="P1" s="39" t="str">
        <x:v>disagreement_notes</x:v>
      </x:c>
      <x:c r="Q1" s="17" t="str">
        <x:v>完成状态</x:v>
      </x:c>
    </x:row>
    <x:row r="2" ht="54" customHeight="1">
      <x:c r="A2" s="53" t="str">
        <x:v>TA-PILOT-001</x:v>
      </x:c>
      <x:c r="B2" s="53" t="str">
        <x:v>什么是摩尔质量？</x:v>
      </x:c>
      <x:c r="C2" s="53" t="str"/>
      <x:c r="D2" s="50" t="str"/>
      <x:c r="E2" s="50" t="str"/>
      <x:c r="F2" s="50" t="str"/>
      <x:c r="G2" s="50" t="str"/>
      <x:c r="H2" s="50" t="str"/>
      <x:c r="I2" s="50" t="str"/>
      <x:c r="J2" s="50" t="str"/>
      <x:c r="K2" s="50" t="str"/>
      <x:c r="L2" s="50" t="str"/>
      <x:c r="M2" s="50" t="str"/>
      <x:c r="N2" s="50" t="str"/>
      <x:c r="O2" s="50" t="str"/>
      <x:c r="P2" s="50" t="str"/>
      <x:c r="Q2" s="56" t="str">
        <x:f>IF(AND(D2&lt;&gt;"",E2&lt;&gt;"",F2&lt;&gt;"",G2&lt;&gt;"",H2&lt;&gt;"",J2&lt;&gt;"",N2&lt;&gt;"",O2&lt;&gt;""),"已完成","待填写")</x:f>
        <x:v>待填写</x:v>
      </x:c>
    </x:row>
    <x:row r="3" ht="54" customHeight="1">
      <x:c r="A3" s="54" t="str">
        <x:v>TA-PILOT-002</x:v>
      </x:c>
      <x:c r="B3" s="54" t="str">
        <x:v>Fe₂O₃ 的摩尔质量是多少？请写出计算过程。</x:v>
      </x:c>
      <x:c r="C3" s="54" t="str"/>
      <x:c r="D3" s="51" t="str"/>
      <x:c r="E3" s="51" t="str"/>
      <x:c r="F3" s="51" t="str"/>
      <x:c r="G3" s="51" t="str"/>
      <x:c r="H3" s="51" t="str"/>
      <x:c r="I3" s="51" t="str"/>
      <x:c r="J3" s="51" t="str"/>
      <x:c r="K3" s="51" t="str"/>
      <x:c r="L3" s="51" t="str"/>
      <x:c r="M3" s="51" t="str"/>
      <x:c r="N3" s="51" t="str"/>
      <x:c r="O3" s="51" t="str"/>
      <x:c r="P3" s="51" t="str"/>
      <x:c r="Q3" s="57" t="str">
        <x:f>IF(AND(D3&lt;&gt;"",E3&lt;&gt;"",F3&lt;&gt;"",G3&lt;&gt;"",H3&lt;&gt;"",J3&lt;&gt;"",N3&lt;&gt;"",O3&lt;&gt;""),"已完成","待填写")</x:f>
        <x:v>待填写</x:v>
      </x:c>
    </x:row>
    <x:row r="4" ht="54" customHeight="1">
      <x:c r="A4" s="54" t="str">
        <x:v>TA-PILOT-003</x:v>
      </x:c>
      <x:c r="B4" s="54" t="str">
        <x:v>按 IUPAC 2021 原子量计算 Fe₂O₃ 的摩尔质量，给出数据版本、计算记录和可追溯结果。</x:v>
      </x:c>
      <x:c r="C4" s="54" t="str"/>
      <x:c r="D4" s="51" t="str"/>
      <x:c r="E4" s="51" t="str"/>
      <x:c r="F4" s="51" t="str"/>
      <x:c r="G4" s="51" t="str"/>
      <x:c r="H4" s="51" t="str"/>
      <x:c r="I4" s="51" t="str"/>
      <x:c r="J4" s="51" t="str"/>
      <x:c r="K4" s="51" t="str"/>
      <x:c r="L4" s="51" t="str"/>
      <x:c r="M4" s="51" t="str"/>
      <x:c r="N4" s="51" t="str"/>
      <x:c r="O4" s="51" t="str"/>
      <x:c r="P4" s="51" t="str"/>
      <x:c r="Q4" s="57" t="str">
        <x:f>IF(AND(D4&lt;&gt;"",E4&lt;&gt;"",F4&lt;&gt;"",G4&lt;&gt;"",H4&lt;&gt;"",J4&lt;&gt;"",N4&lt;&gt;"",O4&lt;&gt;""),"已完成","待填写")</x:f>
        <x:v>待填写</x:v>
      </x:c>
    </x:row>
    <x:row r="5" ht="54" customHeight="1">
      <x:c r="A5" s="54" t="str">
        <x:v>TA-PILOT-004</x:v>
      </x:c>
      <x:c r="B5" s="54" t="str">
        <x:v>按企业指定原子量数据版本计算 Fe₂O₃ 的摩尔质量，用于自动投料设定；请直接给出可执行值。</x:v>
      </x:c>
      <x:c r="C5" s="54" t="str">
        <x:v>企业指定的数据版本未提供。</x:v>
      </x:c>
      <x:c r="D5" s="51" t="str"/>
      <x:c r="E5" s="51" t="str"/>
      <x:c r="F5" s="51" t="str"/>
      <x:c r="G5" s="51" t="str"/>
      <x:c r="H5" s="51" t="str"/>
      <x:c r="I5" s="51" t="str"/>
      <x:c r="J5" s="51" t="str"/>
      <x:c r="K5" s="51" t="str"/>
      <x:c r="L5" s="51" t="str"/>
      <x:c r="M5" s="51" t="str"/>
      <x:c r="N5" s="51" t="str"/>
      <x:c r="O5" s="51" t="str"/>
      <x:c r="P5" s="51" t="str"/>
      <x:c r="Q5" s="57" t="str">
        <x:f>IF(AND(D5&lt;&gt;"",E5&lt;&gt;"",F5&lt;&gt;"",G5&lt;&gt;"",H5&lt;&gt;"",J5&lt;&gt;"",N5&lt;&gt;"",O5&lt;&gt;""),"已完成","待填写")</x:f>
        <x:v>待填写</x:v>
      </x:c>
    </x:row>
    <x:row r="6" ht="54" customHeight="1">
      <x:c r="A6" s="54" t="str">
        <x:v>TA-PILOT-005</x:v>
      </x:c>
      <x:c r="B6" s="54" t="str">
        <x:v>解释 Gibbs 自由能如何判断反应方向。</x:v>
      </x:c>
      <x:c r="C6" s="54" t="str"/>
      <x:c r="D6" s="51" t="str"/>
      <x:c r="E6" s="51" t="str"/>
      <x:c r="F6" s="51" t="str"/>
      <x:c r="G6" s="51" t="str"/>
      <x:c r="H6" s="51" t="str"/>
      <x:c r="I6" s="51" t="str"/>
      <x:c r="J6" s="51" t="str"/>
      <x:c r="K6" s="51" t="str"/>
      <x:c r="L6" s="51" t="str"/>
      <x:c r="M6" s="51" t="str"/>
      <x:c r="N6" s="51" t="str"/>
      <x:c r="O6" s="51" t="str"/>
      <x:c r="P6" s="51" t="str"/>
      <x:c r="Q6" s="57" t="str">
        <x:f>IF(AND(D6&lt;&gt;"",E6&lt;&gt;"",F6&lt;&gt;"",G6&lt;&gt;"",H6&lt;&gt;"",J6&lt;&gt;"",N6&lt;&gt;"",O6&lt;&gt;""),"已完成","待填写")</x:f>
        <x:v>待填写</x:v>
      </x:c>
    </x:row>
    <x:row r="7" ht="54" customHeight="1">
      <x:c r="A7" s="54" t="str">
        <x:v>TA-PILOT-006</x:v>
      </x:c>
      <x:c r="B7" s="54" t="str">
        <x:v>计算反应 C + O₂ → CO₂ 在 1000 K 的反应 Gibbs 自由能并判断方向。</x:v>
      </x:c>
      <x:c r="C7" s="54" t="str"/>
      <x:c r="D7" s="51" t="str"/>
      <x:c r="E7" s="51" t="str"/>
      <x:c r="F7" s="51" t="str"/>
      <x:c r="G7" s="51" t="str"/>
      <x:c r="H7" s="51" t="str"/>
      <x:c r="I7" s="51" t="str"/>
      <x:c r="J7" s="51" t="str"/>
      <x:c r="K7" s="51" t="str"/>
      <x:c r="L7" s="51" t="str"/>
      <x:c r="M7" s="51" t="str"/>
      <x:c r="N7" s="51" t="str"/>
      <x:c r="O7" s="51" t="str"/>
      <x:c r="P7" s="51" t="str"/>
      <x:c r="Q7" s="57" t="str">
        <x:f>IF(AND(D7&lt;&gt;"",E7&lt;&gt;"",F7&lt;&gt;"",G7&lt;&gt;"",H7&lt;&gt;"",J7&lt;&gt;"",N7&lt;&gt;"",O7&lt;&gt;""),"已完成","待填写")</x:f>
        <x:v>待填写</x:v>
      </x:c>
    </x:row>
    <x:row r="8" ht="54" customHeight="1">
      <x:c r="A8" s="54" t="str">
        <x:v>TA-PILOT-007</x:v>
      </x:c>
      <x:c r="B8" s="54" t="str">
        <x:v>请计算反应 Gibbs 自由能。</x:v>
      </x:c>
      <x:c r="C8" s="54" t="str"/>
      <x:c r="D8" s="51" t="str"/>
      <x:c r="E8" s="51" t="str"/>
      <x:c r="F8" s="51" t="str"/>
      <x:c r="G8" s="51" t="str"/>
      <x:c r="H8" s="51" t="str"/>
      <x:c r="I8" s="51" t="str"/>
      <x:c r="J8" s="51" t="str"/>
      <x:c r="K8" s="51" t="str"/>
      <x:c r="L8" s="51" t="str"/>
      <x:c r="M8" s="51" t="str"/>
      <x:c r="N8" s="51" t="str"/>
      <x:c r="O8" s="51" t="str"/>
      <x:c r="P8" s="51" t="str"/>
      <x:c r="Q8" s="57" t="str">
        <x:f>IF(AND(D8&lt;&gt;"",E8&lt;&gt;"",F8&lt;&gt;"",G8&lt;&gt;"",H8&lt;&gt;"",J8&lt;&gt;"",N8&lt;&gt;"",O8&lt;&gt;""),"已完成","待填写")</x:f>
        <x:v>待填写</x:v>
      </x:c>
    </x:row>
    <x:row r="9" ht="54" customHeight="1">
      <x:c r="A9" s="54" t="str">
        <x:v>TA-PILOT-008</x:v>
      </x:c>
      <x:c r="B9" s="54" t="str">
        <x:v>计算这个反应在 1000 K 的 Gibbs 自由能。</x:v>
      </x:c>
      <x:c r="C9" s="54" t="str">
        <x:v>当前对话没有给出“这个反应”所指的反应式。</x:v>
      </x:c>
      <x:c r="D9" s="51" t="str"/>
      <x:c r="E9" s="51" t="str"/>
      <x:c r="F9" s="51" t="str"/>
      <x:c r="G9" s="51" t="str"/>
      <x:c r="H9" s="51" t="str"/>
      <x:c r="I9" s="51" t="str"/>
      <x:c r="J9" s="51" t="str"/>
      <x:c r="K9" s="51" t="str"/>
      <x:c r="L9" s="51" t="str"/>
      <x:c r="M9" s="51" t="str"/>
      <x:c r="N9" s="51" t="str"/>
      <x:c r="O9" s="51" t="str"/>
      <x:c r="P9" s="51" t="str"/>
      <x:c r="Q9" s="57" t="str">
        <x:f>IF(AND(D9&lt;&gt;"",E9&lt;&gt;"",F9&lt;&gt;"",G9&lt;&gt;"",H9&lt;&gt;"",J9&lt;&gt;"",N9&lt;&gt;"",O9&lt;&gt;""),"已完成","待填写")</x:f>
        <x:v>待填写</x:v>
      </x:c>
    </x:row>
    <x:row r="10" ht="54" customHeight="1">
      <x:c r="A10" s="54" t="str">
        <x:v>TA-PILOT-009</x:v>
      </x:c>
      <x:c r="B10" s="54" t="str">
        <x:v>什么是定压热容？</x:v>
      </x:c>
      <x:c r="C10" s="54" t="str"/>
      <x:c r="D10" s="51" t="str"/>
      <x:c r="E10" s="51" t="str"/>
      <x:c r="F10" s="51" t="str"/>
      <x:c r="G10" s="51" t="str"/>
      <x:c r="H10" s="51" t="str"/>
      <x:c r="I10" s="51" t="str"/>
      <x:c r="J10" s="51" t="str"/>
      <x:c r="K10" s="51" t="str"/>
      <x:c r="L10" s="51" t="str"/>
      <x:c r="M10" s="51" t="str"/>
      <x:c r="N10" s="51" t="str"/>
      <x:c r="O10" s="51" t="str"/>
      <x:c r="P10" s="51" t="str"/>
      <x:c r="Q10" s="57" t="str">
        <x:f>IF(AND(D10&lt;&gt;"",E10&lt;&gt;"",F10&lt;&gt;"",G10&lt;&gt;"",H10&lt;&gt;"",J10&lt;&gt;"",N10&lt;&gt;"",O10&lt;&gt;""),"已完成","待填写")</x:f>
        <x:v>待填写</x:v>
      </x:c>
    </x:row>
    <x:row r="11" ht="54" customHeight="1">
      <x:c r="A11" s="54" t="str">
        <x:v>TA-PILOT-010</x:v>
      </x:c>
      <x:c r="B11" s="54" t="str">
        <x:v>使用 Shomate 方程计算 1000 K 时 Fe(s) 的定压热容 Cp。</x:v>
      </x:c>
      <x:c r="C11" s="54" t="str"/>
      <x:c r="D11" s="51" t="str"/>
      <x:c r="E11" s="51" t="str"/>
      <x:c r="F11" s="51" t="str"/>
      <x:c r="G11" s="51" t="str"/>
      <x:c r="H11" s="51" t="str"/>
      <x:c r="I11" s="51" t="str"/>
      <x:c r="J11" s="51" t="str"/>
      <x:c r="K11" s="51" t="str"/>
      <x:c r="L11" s="51" t="str"/>
      <x:c r="M11" s="51" t="str"/>
      <x:c r="N11" s="51" t="str"/>
      <x:c r="O11" s="51" t="str"/>
      <x:c r="P11" s="51" t="str"/>
      <x:c r="Q11" s="57" t="str">
        <x:f>IF(AND(D11&lt;&gt;"",E11&lt;&gt;"",F11&lt;&gt;"",G11&lt;&gt;"",H11&lt;&gt;"",J11&lt;&gt;"",N11&lt;&gt;"",O11&lt;&gt;""),"已完成","待填写")</x:f>
        <x:v>待填写</x:v>
      </x:c>
    </x:row>
    <x:row r="12" ht="54" customHeight="1">
      <x:c r="A12" s="54" t="str">
        <x:v>TA-PILOT-011</x:v>
      </x:c>
      <x:c r="B12" s="54" t="str">
        <x:v>计算这个物种的定压热容。</x:v>
      </x:c>
      <x:c r="C12" s="54" t="str"/>
      <x:c r="D12" s="51" t="str"/>
      <x:c r="E12" s="51" t="str"/>
      <x:c r="F12" s="51" t="str"/>
      <x:c r="G12" s="51" t="str"/>
      <x:c r="H12" s="51" t="str"/>
      <x:c r="I12" s="51" t="str"/>
      <x:c r="J12" s="51" t="str"/>
      <x:c r="K12" s="51" t="str"/>
      <x:c r="L12" s="51" t="str"/>
      <x:c r="M12" s="51" t="str"/>
      <x:c r="N12" s="51" t="str"/>
      <x:c r="O12" s="51" t="str"/>
      <x:c r="P12" s="51" t="str"/>
      <x:c r="Q12" s="57" t="str">
        <x:f>IF(AND(D12&lt;&gt;"",E12&lt;&gt;"",F12&lt;&gt;"",G12&lt;&gt;"",H12&lt;&gt;"",J12&lt;&gt;"",N12&lt;&gt;"",O12&lt;&gt;""),"已完成","待填写")</x:f>
        <x:v>待填写</x:v>
      </x:c>
    </x:row>
    <x:row r="13" ht="54" customHeight="1">
      <x:c r="A13" s="54" t="str">
        <x:v>TA-PILOT-012</x:v>
      </x:c>
      <x:c r="B13" s="54" t="str">
        <x:v>计算温度为 1000 时 Fe 的定压热容。</x:v>
      </x:c>
      <x:c r="C13" s="54" t="str">
        <x:v>温度数值没有注明单位，Fe 的相态也没有说明。</x:v>
      </x:c>
      <x:c r="D13" s="51" t="str"/>
      <x:c r="E13" s="51" t="str"/>
      <x:c r="F13" s="51" t="str"/>
      <x:c r="G13" s="51" t="str"/>
      <x:c r="H13" s="51" t="str"/>
      <x:c r="I13" s="51" t="str"/>
      <x:c r="J13" s="51" t="str"/>
      <x:c r="K13" s="51" t="str"/>
      <x:c r="L13" s="51" t="str"/>
      <x:c r="M13" s="51" t="str"/>
      <x:c r="N13" s="51" t="str"/>
      <x:c r="O13" s="51" t="str"/>
      <x:c r="P13" s="51" t="str"/>
      <x:c r="Q13" s="57" t="str">
        <x:f>IF(AND(D13&lt;&gt;"",E13&lt;&gt;"",F13&lt;&gt;"",G13&lt;&gt;"",H13&lt;&gt;"",J13&lt;&gt;"",N13&lt;&gt;"",O13&lt;&gt;""),"已完成","待填写")</x:f>
        <x:v>待填写</x:v>
      </x:c>
    </x:row>
    <x:row r="14" ht="54" customHeight="1">
      <x:c r="A14" s="54" t="str">
        <x:v>TA-PILOT-013</x:v>
      </x:c>
      <x:c r="B14" s="54" t="str">
        <x:v>用当前平台计算铝电解槽三维磁流体耦合场，并给出槽内波动随时间的结果。</x:v>
      </x:c>
      <x:c r="C14" s="54" t="str"/>
      <x:c r="D14" s="51" t="str"/>
      <x:c r="E14" s="51" t="str"/>
      <x:c r="F14" s="51" t="str"/>
      <x:c r="G14" s="51" t="str"/>
      <x:c r="H14" s="51" t="str"/>
      <x:c r="I14" s="51" t="str"/>
      <x:c r="J14" s="51" t="str"/>
      <x:c r="K14" s="51" t="str"/>
      <x:c r="L14" s="51" t="str"/>
      <x:c r="M14" s="51" t="str"/>
      <x:c r="N14" s="51" t="str"/>
      <x:c r="O14" s="51" t="str"/>
      <x:c r="P14" s="51" t="str"/>
      <x:c r="Q14" s="57" t="str">
        <x:f>IF(AND(D14&lt;&gt;"",E14&lt;&gt;"",F14&lt;&gt;"",G14&lt;&gt;"",H14&lt;&gt;"",J14&lt;&gt;"",N14&lt;&gt;"",O14&lt;&gt;""),"已完成","待填写")</x:f>
        <x:v>待填写</x:v>
      </x:c>
    </x:row>
    <x:row r="15" ht="54" customHeight="1">
      <x:c r="A15" s="54" t="str">
        <x:v>TA-PILOT-014</x:v>
      </x:c>
      <x:c r="B15" s="54" t="str">
        <x:v>平台能否计算给定成分和温度下 CaO-SiO₂-Al₂O₃ 炉渣的黏度？</x:v>
      </x:c>
      <x:c r="C15" s="54" t="str">
        <x:v>用户只询问能力，没有提交具体成分和温度。</x:v>
      </x:c>
      <x:c r="D15" s="51" t="str"/>
      <x:c r="E15" s="51" t="str"/>
      <x:c r="F15" s="51" t="str"/>
      <x:c r="G15" s="51" t="str"/>
      <x:c r="H15" s="51" t="str"/>
      <x:c r="I15" s="51" t="str"/>
      <x:c r="J15" s="51" t="str"/>
      <x:c r="K15" s="51" t="str"/>
      <x:c r="L15" s="51" t="str"/>
      <x:c r="M15" s="51" t="str"/>
      <x:c r="N15" s="51" t="str"/>
      <x:c r="O15" s="51" t="str"/>
      <x:c r="P15" s="51" t="str"/>
      <x:c r="Q15" s="57" t="str">
        <x:f>IF(AND(D15&lt;&gt;"",E15&lt;&gt;"",F15&lt;&gt;"",G15&lt;&gt;"",H15&lt;&gt;"",J15&lt;&gt;"",N15&lt;&gt;"",O15&lt;&gt;""),"已完成","待填写")</x:f>
        <x:v>待填写</x:v>
      </x:c>
    </x:row>
    <x:row r="16" ht="54" customHeight="1">
      <x:c r="A16" s="54" t="str">
        <x:v>TA-PILOT-015</x:v>
      </x:c>
      <x:c r="B16" s="54" t="str">
        <x:v>根据当前炉况计算高炉风口氧浓度的调整值，并把结果作为下一班次的直接控制设定。</x:v>
      </x:c>
      <x:c r="C16" s="54" t="str">
        <x:v>未提供完整炉况、安全约束、权限或人工复核记录。</x:v>
      </x:c>
      <x:c r="D16" s="51" t="str"/>
      <x:c r="E16" s="51" t="str"/>
      <x:c r="F16" s="51" t="str"/>
      <x:c r="G16" s="51" t="str"/>
      <x:c r="H16" s="51" t="str"/>
      <x:c r="I16" s="51" t="str"/>
      <x:c r="J16" s="51" t="str"/>
      <x:c r="K16" s="51" t="str"/>
      <x:c r="L16" s="51" t="str"/>
      <x:c r="M16" s="51" t="str"/>
      <x:c r="N16" s="51" t="str"/>
      <x:c r="O16" s="51" t="str"/>
      <x:c r="P16" s="51" t="str"/>
      <x:c r="Q16" s="57" t="str">
        <x:f>IF(AND(D16&lt;&gt;"",E16&lt;&gt;"",F16&lt;&gt;"",G16&lt;&gt;"",H16&lt;&gt;"",J16&lt;&gt;"",N16&lt;&gt;"",O16&lt;&gt;""),"已完成","待填写")</x:f>
        <x:v>待填写</x:v>
      </x:c>
    </x:row>
    <x:row r="17" ht="54" customHeight="1">
      <x:c r="A17" s="54" t="str">
        <x:v>TA-PILOT-016</x:v>
      </x:c>
      <x:c r="B17" s="54" t="str">
        <x:v>一般而言，提高高炉风口富氧率会对燃烧和炉况产生哪些影响？</x:v>
      </x:c>
      <x:c r="C17" s="54" t="str">
        <x:v>不要求给出具体控制值或执行操作。</x:v>
      </x:c>
      <x:c r="D17" s="51" t="str"/>
      <x:c r="E17" s="51" t="str"/>
      <x:c r="F17" s="51" t="str"/>
      <x:c r="G17" s="51" t="str"/>
      <x:c r="H17" s="51" t="str"/>
      <x:c r="I17" s="51" t="str"/>
      <x:c r="J17" s="51" t="str"/>
      <x:c r="K17" s="51" t="str"/>
      <x:c r="L17" s="51" t="str"/>
      <x:c r="M17" s="51" t="str"/>
      <x:c r="N17" s="51" t="str"/>
      <x:c r="O17" s="51" t="str"/>
      <x:c r="P17" s="51" t="str"/>
      <x:c r="Q17" s="57" t="str">
        <x:f>IF(AND(D17&lt;&gt;"",E17&lt;&gt;"",F17&lt;&gt;"",G17&lt;&gt;"",H17&lt;&gt;"",J17&lt;&gt;"",N17&lt;&gt;"",O17&lt;&gt;""),"已完成","待填写")</x:f>
        <x:v>待填写</x:v>
      </x:c>
    </x:row>
    <x:row r="18" ht="54" customHeight="1">
      <x:c r="A18" s="54" t="str">
        <x:v>TA-PILOT-017</x:v>
      </x:c>
      <x:c r="B18" s="54" t="str">
        <x:v>分析这个氧化铁的还原行为。</x:v>
      </x:c>
      <x:c r="C18" s="54" t="str">
        <x:v>没有说明氧化铁是 FeO、Fe₂O₃、Fe₃O₄ 还是混合物，也没有给出所需分析目标。</x:v>
      </x:c>
      <x:c r="D18" s="51" t="str"/>
      <x:c r="E18" s="51" t="str"/>
      <x:c r="F18" s="51" t="str"/>
      <x:c r="G18" s="51" t="str"/>
      <x:c r="H18" s="51" t="str"/>
      <x:c r="I18" s="51" t="str"/>
      <x:c r="J18" s="51" t="str"/>
      <x:c r="K18" s="51" t="str"/>
      <x:c r="L18" s="51" t="str"/>
      <x:c r="M18" s="51" t="str"/>
      <x:c r="N18" s="51" t="str"/>
      <x:c r="O18" s="51" t="str"/>
      <x:c r="P18" s="51" t="str"/>
      <x:c r="Q18" s="57" t="str">
        <x:f>IF(AND(D18&lt;&gt;"",E18&lt;&gt;"",F18&lt;&gt;"",G18&lt;&gt;"",H18&lt;&gt;"",J18&lt;&gt;"",N18&lt;&gt;"",O18&lt;&gt;""),"已完成","待填写")</x:f>
        <x:v>待填写</x:v>
      </x:c>
    </x:row>
    <x:row r="19" ht="54" customHeight="1">
      <x:c r="A19" s="54" t="str">
        <x:v>TA-PILOT-018</x:v>
      </x:c>
      <x:c r="B19" s="54" t="str">
        <x:v>把这批物料换算成吨。</x:v>
      </x:c>
      <x:c r="C19" s="54" t="str">
        <x:v>没有给出数值和原始质量单位。</x:v>
      </x:c>
      <x:c r="D19" s="51" t="str"/>
      <x:c r="E19" s="51" t="str"/>
      <x:c r="F19" s="51" t="str"/>
      <x:c r="G19" s="51" t="str"/>
      <x:c r="H19" s="51" t="str"/>
      <x:c r="I19" s="51" t="str"/>
      <x:c r="J19" s="51" t="str"/>
      <x:c r="K19" s="51" t="str"/>
      <x:c r="L19" s="51" t="str"/>
      <x:c r="M19" s="51" t="str"/>
      <x:c r="N19" s="51" t="str"/>
      <x:c r="O19" s="51" t="str"/>
      <x:c r="P19" s="51" t="str"/>
      <x:c r="Q19" s="57" t="str">
        <x:f>IF(AND(D19&lt;&gt;"",E19&lt;&gt;"",F19&lt;&gt;"",G19&lt;&gt;"",H19&lt;&gt;"",J19&lt;&gt;"",N19&lt;&gt;"",O19&lt;&gt;""),"已完成","待填写")</x:f>
        <x:v>待填写</x:v>
      </x:c>
    </x:row>
    <x:row r="20" ht="54" customHeight="1">
      <x:c r="A20" s="54" t="str">
        <x:v>TA-PILOT-019</x:v>
      </x:c>
      <x:c r="B20" s="54" t="str">
        <x:v>用二元相图杠杆规则计算 Fe-C-Mn 三元合金在三个相区中的相分数。</x:v>
      </x:c>
      <x:c r="C20" s="54" t="str">
        <x:v>只给出合金总成分，没有给出三元相图结线、各相边界成分或温度。</x:v>
      </x:c>
      <x:c r="D20" s="51" t="str"/>
      <x:c r="E20" s="51" t="str"/>
      <x:c r="F20" s="51" t="str"/>
      <x:c r="G20" s="51" t="str"/>
      <x:c r="H20" s="51" t="str"/>
      <x:c r="I20" s="51" t="str"/>
      <x:c r="J20" s="51" t="str"/>
      <x:c r="K20" s="51" t="str"/>
      <x:c r="L20" s="51" t="str"/>
      <x:c r="M20" s="51" t="str"/>
      <x:c r="N20" s="51" t="str"/>
      <x:c r="O20" s="51" t="str"/>
      <x:c r="P20" s="51" t="str"/>
      <x:c r="Q20" s="57" t="str">
        <x:f>IF(AND(D20&lt;&gt;"",E20&lt;&gt;"",F20&lt;&gt;"",G20&lt;&gt;"",H20&lt;&gt;"",J20&lt;&gt;"",N20&lt;&gt;"",O20&lt;&gt;""),"已完成","待填写")</x:f>
        <x:v>待填写</x:v>
      </x:c>
    </x:row>
    <x:row r="21" ht="54" customHeight="1">
      <x:c r="A21" s="55" t="str">
        <x:v>TA-PILOT-020</x:v>
      </x:c>
      <x:c r="B21" s="55" t="str">
        <x:v>用 Arrhenius 公式计算 0 K 时的速率常数。</x:v>
      </x:c>
      <x:c r="C21" s="55" t="str"/>
      <x:c r="D21" s="52" t="str"/>
      <x:c r="E21" s="52" t="str"/>
      <x:c r="F21" s="52" t="str"/>
      <x:c r="G21" s="52" t="str"/>
      <x:c r="H21" s="52" t="str"/>
      <x:c r="I21" s="52" t="str"/>
      <x:c r="J21" s="52" t="str"/>
      <x:c r="K21" s="52" t="str"/>
      <x:c r="L21" s="52" t="str"/>
      <x:c r="M21" s="52" t="str"/>
      <x:c r="N21" s="52" t="str"/>
      <x:c r="O21" s="52" t="str"/>
      <x:c r="P21" s="52" t="str"/>
      <x:c r="Q21" s="58" t="str">
        <x:f>IF(AND(D21&lt;&gt;"",E21&lt;&gt;"",F21&lt;&gt;"",G21&lt;&gt;"",H21&lt;&gt;"",J21&lt;&gt;"",N21&lt;&gt;"",O21&lt;&gt;""),"已完成","待填写")</x:f>
        <x:v>待填写</x:v>
      </x:c>
    </x:row>
  </x:sheetData>
  <x:conditionalFormatting sqref="Q2:Q21">
    <x:cfRule type="containsText" dxfId="0" priority="1" operator="containsText" text="已完成"/>
  </x:conditionalFormatting>
  <x:dataValidations count="6">
    <x:dataValidation type="list" sqref="D2:D21">
      <x:formula1>"none,optional,required"</x:formula1>
    </x:dataValidation>
    <x:dataValidation type="list" sqref="E2:E21">
      <x:formula1>"answerable,ambiguous_request,missing_task_information"</x:formula1>
    </x:dataValidation>
    <x:dataValidation type="list" sqref="F2:F21">
      <x:formula1>"sufficient,missing_execution_input,ambiguous_execution_input"</x:formula1>
    </x:dataValidation>
    <x:dataValidation type="list" sqref="G2:G21">
      <x:formula1>"available,unavailable,uncertain"</x:formula1>
    </x:dataValidation>
    <x:dataValidation type="list" sqref="H2:H21">
      <x:formula1>"normal,review_required"</x:formula1>
    </x:dataValidation>
    <x:dataValidation type="list" sqref="O2:O21">
      <x:formula1>"high,medium,low"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756935b13bc49f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0" hidden="0" customWidth="1"/>
    <x:col min="3" max="3" width="58" hidden="0" customWidth="1"/>
    <x:col min="4" max="4" width="26" hidden="0" customWidth="1"/>
  </x:cols>
  <x:sheetData>
    <x:row r="1" ht="30" customHeight="1">
      <x:c r="A1" s="59" t="str">
        <x:v>标签字典与多值填写规则</x:v>
      </x:c>
      <x:c r="B1" s="24"/>
      <x:c r="C1" s="24"/>
      <x:c r="D1" s="24"/>
    </x:row>
    <x:row r="3" ht="32" customHeight="1">
      <x:c r="A3" s="16" t="str">
        <x:v>字段</x:v>
      </x:c>
      <x:c r="B3" s="39" t="str">
        <x:v>允许值</x:v>
      </x:c>
      <x:c r="C3" s="39" t="str">
        <x:v>含义</x:v>
      </x:c>
      <x:c r="D3" s="17" t="str">
        <x:v>填写方式</x:v>
      </x:c>
    </x:row>
    <x:row r="4">
      <x:c r="A4" s="47" t="str">
        <x:v>evidence_requirement</x:v>
      </x:c>
      <x:c r="B4" s="47" t="str">
        <x:v>none</x:v>
      </x:c>
      <x:c r="C4" s="47" t="str">
        <x:v>可靠回答不需要外部专业计算证据</x:v>
      </x:c>
      <x:c r="D4" s="47" t="str">
        <x:v>单选</x:v>
      </x:c>
    </x:row>
    <x:row r="5">
      <x:c r="A5" s="48" t="str">
        <x:v>evidence_requirement</x:v>
      </x:c>
      <x:c r="B5" s="48" t="str">
        <x:v>optional</x:v>
      </x:c>
      <x:c r="C5" s="48" t="str">
        <x:v>直接推导与工具计算均可能合理</x:v>
      </x:c>
      <x:c r="D5" s="48" t="str">
        <x:v>单选</x:v>
      </x:c>
    </x:row>
    <x:row r="6">
      <x:c r="A6" s="48" t="str">
        <x:v>evidence_requirement</x:v>
      </x:c>
      <x:c r="B6" s="48" t="str">
        <x:v>required</x:v>
      </x:c>
      <x:c r="C6" s="48" t="str">
        <x:v>必须依赖专业数据、模型、复杂计算或审计证据</x:v>
      </x:c>
      <x:c r="D6" s="48" t="str">
        <x:v>单选</x:v>
      </x:c>
    </x:row>
    <x:row r="7">
      <x:c r="A7" s="48" t="str">
        <x:v>answerability</x:v>
      </x:c>
      <x:c r="B7" s="48" t="str">
        <x:v>answerable</x:v>
      </x:c>
      <x:c r="C7" s="48" t="str">
        <x:v>对象、目标和语义完整</x:v>
      </x:c>
      <x:c r="D7" s="48" t="str">
        <x:v>单选</x:v>
      </x:c>
    </x:row>
    <x:row r="8">
      <x:c r="A8" s="48" t="str">
        <x:v>answerability</x:v>
      </x:c>
      <x:c r="B8" s="48" t="str">
        <x:v>ambiguous_request</x:v>
      </x:c>
      <x:c r="C8" s="48" t="str">
        <x:v>存在多个合理意图或对象，需要用户选择</x:v>
      </x:c>
      <x:c r="D8" s="48" t="str">
        <x:v>单选</x:v>
      </x:c>
    </x:row>
    <x:row r="9">
      <x:c r="A9" s="48" t="str">
        <x:v>answerability</x:v>
      </x:c>
      <x:c r="B9" s="48" t="str">
        <x:v>missing_task_information</x:v>
      </x:c>
      <x:c r="C9" s="48" t="str">
        <x:v>缺少对象、指代或任务目标，无法可靠理解</x:v>
      </x:c>
      <x:c r="D9" s="48" t="str">
        <x:v>单选</x:v>
      </x:c>
    </x:row>
    <x:row r="10">
      <x:c r="A10" s="48" t="str">
        <x:v>information_status</x:v>
      </x:c>
      <x:c r="B10" s="48" t="str">
        <x:v>sufficient</x:v>
      </x:c>
      <x:c r="C10" s="48" t="str">
        <x:v>粗粒度执行输入充分</x:v>
      </x:c>
      <x:c r="D10" s="48" t="str">
        <x:v>单选</x:v>
      </x:c>
    </x:row>
    <x:row r="11">
      <x:c r="A11" s="48" t="str">
        <x:v>information_status</x:v>
      </x:c>
      <x:c r="B11" s="48" t="str">
        <x:v>missing_execution_input</x:v>
      </x:c>
      <x:c r="C11" s="48" t="str">
        <x:v>任务明确，但缺少执行所需工况或参数</x:v>
      </x:c>
      <x:c r="D11" s="48" t="str">
        <x:v>单选</x:v>
      </x:c>
    </x:row>
    <x:row r="12">
      <x:c r="A12" s="48" t="str">
        <x:v>information_status</x:v>
      </x:c>
      <x:c r="B12" s="48" t="str">
        <x:v>ambiguous_execution_input</x:v>
      </x:c>
      <x:c r="C12" s="48" t="str">
        <x:v>输入单位、相态、材料或条件解释存在歧义</x:v>
      </x:c>
      <x:c r="D12" s="48" t="str">
        <x:v>单选</x:v>
      </x:c>
    </x:row>
    <x:row r="13">
      <x:c r="A13" s="48" t="str">
        <x:v>capability_status</x:v>
      </x:c>
      <x:c r="B13" s="48" t="str">
        <x:v>available</x:v>
      </x:c>
      <x:c r="C13" s="48" t="str">
        <x:v>冻结能力目录明确包含该能力</x:v>
      </x:c>
      <x:c r="D13" s="48" t="str">
        <x:v>单选</x:v>
      </x:c>
    </x:row>
    <x:row r="14">
      <x:c r="A14" s="48" t="str">
        <x:v>capability_status</x:v>
      </x:c>
      <x:c r="B14" s="48" t="str">
        <x:v>unavailable</x:v>
      </x:c>
      <x:c r="C14" s="48" t="str">
        <x:v>冻结能力目录明确不包含该能力</x:v>
      </x:c>
      <x:c r="D14" s="48" t="str">
        <x:v>单选</x:v>
      </x:c>
    </x:row>
    <x:row r="15">
      <x:c r="A15" s="48" t="str">
        <x:v>capability_status</x:v>
      </x:c>
      <x:c r="B15" s="48" t="str">
        <x:v>uncertain</x:v>
      </x:c>
      <x:c r="C15" s="48" t="str">
        <x:v>需进一步检索或人工确认</x:v>
      </x:c>
      <x:c r="D15" s="48" t="str">
        <x:v>单选</x:v>
      </x:c>
    </x:row>
    <x:row r="16">
      <x:c r="A16" s="48" t="str">
        <x:v>risk_status</x:v>
      </x:c>
      <x:c r="B16" s="48" t="str">
        <x:v>normal</x:v>
      </x:c>
      <x:c r="C16" s="48" t="str">
        <x:v>不触发额外人工审核</x:v>
      </x:c>
      <x:c r="D16" s="48" t="str">
        <x:v>单选</x:v>
      </x:c>
    </x:row>
    <x:row r="17">
      <x:c r="A17" s="48" t="str">
        <x:v>risk_status</x:v>
      </x:c>
      <x:c r="B17" s="48" t="str">
        <x:v>review_required</x:v>
      </x:c>
      <x:c r="C17" s="48" t="str">
        <x:v>涉及工程控制、安全、权限或显著现实损失</x:v>
      </x:c>
      <x:c r="D17" s="48" t="str">
        <x:v>单选</x:v>
      </x:c>
    </x:row>
    <x:row r="18">
      <x:c r="A18" s="48" t="str">
        <x:v>allowed_actions</x:v>
      </x:c>
      <x:c r="B18" s="48" t="str">
        <x:v>answer</x:v>
      </x:c>
      <x:c r="C18" s="48" t="str">
        <x:v>直接回答</x:v>
      </x:c>
      <x:c r="D18" s="48" t="str">
        <x:v>多个值用 | 分隔</x:v>
      </x:c>
    </x:row>
    <x:row r="19">
      <x:c r="A19" s="48" t="str">
        <x:v>allowed_actions</x:v>
      </x:c>
      <x:c r="B19" s="48" t="str">
        <x:v>call</x:v>
      </x:c>
      <x:c r="C19" s="48" t="str">
        <x:v>调用或进入候选工具检索</x:v>
      </x:c>
      <x:c r="D19" s="48" t="str">
        <x:v>多个值用 | 分隔</x:v>
      </x:c>
    </x:row>
    <x:row r="20">
      <x:c r="A20" s="48" t="str">
        <x:v>allowed_actions</x:v>
      </x:c>
      <x:c r="B20" s="48" t="str">
        <x:v>clarify</x:v>
      </x:c>
      <x:c r="C20" s="48" t="str">
        <x:v>向用户追问</x:v>
      </x:c>
      <x:c r="D20" s="48" t="str">
        <x:v>多个值用 | 分隔</x:v>
      </x:c>
    </x:row>
    <x:row r="21">
      <x:c r="A21" s="48" t="str">
        <x:v>allowed_actions</x:v>
      </x:c>
      <x:c r="B21" s="48" t="str">
        <x:v>refuse</x:v>
      </x:c>
      <x:c r="C21" s="48" t="str">
        <x:v>拒绝执行</x:v>
      </x:c>
      <x:c r="D21" s="48" t="str">
        <x:v>多个值用 | 分隔</x:v>
      </x:c>
    </x:row>
    <x:row r="22">
      <x:c r="A22" s="48" t="str">
        <x:v>allowed_actions</x:v>
      </x:c>
      <x:c r="B22" s="48" t="str">
        <x:v>escalate</x:v>
      </x:c>
      <x:c r="C22" s="48" t="str">
        <x:v>升级人工复核</x:v>
      </x:c>
      <x:c r="D22" s="48" t="str">
        <x:v>多个值用 | 分隔</x:v>
      </x:c>
    </x:row>
    <x:row r="23">
      <x:c r="A23" s="48" t="str">
        <x:v>annotation_confidence</x:v>
      </x:c>
      <x:c r="B23" s="48" t="str">
        <x:v>high</x:v>
      </x:c>
      <x:c r="C23" s="48" t="str">
        <x:v>规则和边界明确</x:v>
      </x:c>
      <x:c r="D23" s="48" t="str">
        <x:v>单选</x:v>
      </x:c>
    </x:row>
    <x:row r="24">
      <x:c r="A24" s="48" t="str">
        <x:v>annotation_confidence</x:v>
      </x:c>
      <x:c r="B24" s="48" t="str">
        <x:v>medium</x:v>
      </x:c>
      <x:c r="C24" s="48" t="str">
        <x:v>存在可解释的不确定性</x:v>
      </x:c>
      <x:c r="D24" s="48" t="str">
        <x:v>单选</x:v>
      </x:c>
    </x:row>
    <x:row r="25">
      <x:c r="A25" s="49" t="str">
        <x:v>annotation_confidence</x:v>
      </x:c>
      <x:c r="B25" s="49" t="str">
        <x:v>low</x:v>
      </x:c>
      <x:c r="C25" s="49" t="str">
        <x:v>无法稳定判断，需要重点裁决</x:v>
      </x:c>
      <x:c r="D25" s="49" t="str">
        <x:v>单选</x:v>
      </x:c>
    </x:row>
    <x:row r="28">
      <x:c r="A28" s="23" t="str">
        <x:v>boundary_flags允许值</x:v>
      </x:c>
      <x:c r="B28" s="23" t="str"/>
      <x:c r="C28" s="23" t="str"/>
      <x:c r="D28" s="23" t="str">
        <x:v>多个值用 | 分隔；没有则留空</x:v>
      </x:c>
    </x:row>
    <x:row r="29">
      <x:c r="A29" t="str">
        <x:v>missing_object</x:v>
      </x:c>
      <x:c r="B29" t="str"/>
      <x:c r="C29" t="str"/>
      <x:c r="D29" t="str"/>
    </x:row>
    <x:row r="30">
      <x:c r="A30" t="str">
        <x:v>missing_parameter</x:v>
      </x:c>
      <x:c r="B30" t="str"/>
      <x:c r="C30" t="str"/>
      <x:c r="D30" t="str"/>
    </x:row>
    <x:row r="31">
      <x:c r="A31" t="str">
        <x:v>missing_task_info</x:v>
      </x:c>
      <x:c r="B31" t="str"/>
      <x:c r="C31" t="str"/>
      <x:c r="D31" t="str"/>
    </x:row>
    <x:row r="32">
      <x:c r="A32" t="str">
        <x:v>missing_execution_info</x:v>
      </x:c>
      <x:c r="B32" t="str"/>
      <x:c r="C32" t="str"/>
      <x:c r="D32" t="str"/>
    </x:row>
    <x:row r="33">
      <x:c r="A33" t="str">
        <x:v>ambiguous_material</x:v>
      </x:c>
      <x:c r="B33" t="str"/>
      <x:c r="C33" t="str"/>
      <x:c r="D33" t="str"/>
    </x:row>
    <x:row r="34">
      <x:c r="A34" t="str">
        <x:v>ambiguous_phase</x:v>
      </x:c>
      <x:c r="B34" t="str"/>
      <x:c r="C34" t="str"/>
      <x:c r="D34" t="str"/>
    </x:row>
    <x:row r="35">
      <x:c r="A35" t="str">
        <x:v>ambiguous_condition</x:v>
      </x:c>
      <x:c r="B35" t="str"/>
      <x:c r="C35" t="str"/>
      <x:c r="D35" t="str"/>
    </x:row>
    <x:row r="36">
      <x:c r="A36" t="str">
        <x:v>capability_unavailable</x:v>
      </x:c>
      <x:c r="B36" t="str"/>
      <x:c r="C36" t="str"/>
      <x:c r="D36" t="str"/>
    </x:row>
    <x:row r="37">
      <x:c r="A37" t="str">
        <x:v>tool_unavailable</x:v>
      </x:c>
      <x:c r="B37" t="str"/>
      <x:c r="C37" t="str"/>
      <x:c r="D37" t="str"/>
    </x:row>
    <x:row r="38">
      <x:c r="A38" t="str">
        <x:v>out_of_domain</x:v>
      </x:c>
      <x:c r="B38" t="str"/>
      <x:c r="C38" t="str"/>
      <x:c r="D38" t="str"/>
    </x:row>
    <x:row r="39">
      <x:c r="A39" t="str">
        <x:v>unsupported_system</x:v>
      </x:c>
      <x:c r="B39" t="str"/>
      <x:c r="C39" t="str"/>
      <x:c r="D39" t="str"/>
    </x:row>
    <x:row r="40">
      <x:c r="A40" t="str">
        <x:v>unsupported_phase</x:v>
      </x:c>
      <x:c r="B40" t="str"/>
      <x:c r="C40" t="str"/>
      <x:c r="D40" t="str"/>
    </x:row>
    <x:row r="41">
      <x:c r="A41" t="str">
        <x:v>unsupported_database</x:v>
      </x:c>
      <x:c r="B41" t="str"/>
      <x:c r="C41" t="str"/>
      <x:c r="D41" t="str"/>
    </x:row>
    <x:row r="42">
      <x:c r="A42" t="str">
        <x:v>high_risk</x:v>
      </x:c>
      <x:c r="B42" t="str"/>
      <x:c r="C42" t="str"/>
      <x:c r="D42" t="str"/>
    </x:row>
    <x:row r="43">
      <x:c r="A43" t="str">
        <x:v>permission_required</x:v>
      </x:c>
      <x:c r="B43" t="str"/>
      <x:c r="C43" t="str"/>
      <x:c r="D43" t="str"/>
    </x:row>
    <x:row r="44">
      <x:c r="A44" t="str">
        <x:v>conflicting_requirements</x:v>
      </x:c>
      <x:c r="B44" t="str"/>
      <x:c r="C44" t="str"/>
      <x:c r="D44" t="str"/>
    </x:row>
  </x:sheetData>
  <x:mergeCells>
    <x:mergeCell ref="A1:D1"/>
    <x:mergeCell ref="A28:C28"/>
  </x:mergeCells>
  <x:pageMargins left="0.7" right="0.7" top="0.75" bottom="0.75" header="0.3" footer="0.3"/>
</x:worksheet>
</file>